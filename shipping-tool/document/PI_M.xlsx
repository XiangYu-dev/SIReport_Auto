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192.168.1.10\Shipments\優化資料\"/>
    </mc:Choice>
  </mc:AlternateContent>
  <xr:revisionPtr revIDLastSave="0" documentId="13_ncr:1_{CEAC4BE6-B2D9-4987-8483-5F180246C69E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GB-694M " sheetId="2" r:id="rId1"/>
    <sheet name="工作表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33" i="2" s="1"/>
</calcChain>
</file>

<file path=xl/sharedStrings.xml><?xml version="1.0" encoding="utf-8"?>
<sst xmlns="http://schemas.openxmlformats.org/spreadsheetml/2006/main" count="99" uniqueCount="65">
  <si>
    <t>GROWTH UP LIMITED</t>
    <phoneticPr fontId="5" type="noConversion"/>
  </si>
  <si>
    <t xml:space="preserve">MESSER: </t>
    <phoneticPr fontId="5" type="noConversion"/>
  </si>
  <si>
    <t>GLOBE FOOTWEAR CORP.</t>
    <phoneticPr fontId="5" type="noConversion"/>
  </si>
  <si>
    <t>P/I #</t>
    <phoneticPr fontId="5" type="noConversion"/>
  </si>
  <si>
    <t>GB-694M</t>
    <phoneticPr fontId="5" type="noConversion"/>
  </si>
  <si>
    <t xml:space="preserve">ATTN: </t>
    <phoneticPr fontId="5" type="noConversion"/>
  </si>
  <si>
    <t>Chris</t>
    <phoneticPr fontId="5" type="noConversion"/>
  </si>
  <si>
    <t>DATE:</t>
    <phoneticPr fontId="5" type="noConversion"/>
  </si>
  <si>
    <t xml:space="preserve">PROFORMA INVOICE </t>
    <phoneticPr fontId="5" type="noConversion"/>
  </si>
  <si>
    <t xml:space="preserve">TIME OF SHIPMENT: </t>
    <phoneticPr fontId="5" type="noConversion"/>
  </si>
  <si>
    <t xml:space="preserve">TERMS OF PAYMENT: </t>
    <phoneticPr fontId="5" type="noConversion"/>
  </si>
  <si>
    <t xml:space="preserve">AFTER SHIPMENT BY T/T or BY CHECK. </t>
    <phoneticPr fontId="5" type="noConversion"/>
  </si>
  <si>
    <t>ORDER NO.</t>
    <phoneticPr fontId="5" type="noConversion"/>
  </si>
  <si>
    <t>STOCK</t>
    <phoneticPr fontId="5" type="noConversion"/>
  </si>
  <si>
    <t>STYLE</t>
    <phoneticPr fontId="5" type="noConversion"/>
  </si>
  <si>
    <t>DESCRIPTION</t>
    <phoneticPr fontId="5" type="noConversion"/>
  </si>
  <si>
    <t>Q'NTY</t>
    <phoneticPr fontId="5" type="noConversion"/>
  </si>
  <si>
    <t xml:space="preserve"> PRICE</t>
    <phoneticPr fontId="5" type="noConversion"/>
  </si>
  <si>
    <t>AMOUNT/USD</t>
    <phoneticPr fontId="5" type="noConversion"/>
  </si>
  <si>
    <t>G.F.C.</t>
    <phoneticPr fontId="5" type="noConversion"/>
  </si>
  <si>
    <t>MEN'S SHOES</t>
    <phoneticPr fontId="5" type="noConversion"/>
  </si>
  <si>
    <t>PRS</t>
    <phoneticPr fontId="5" type="noConversion"/>
  </si>
  <si>
    <t>USD/PR</t>
    <phoneticPr fontId="5" type="noConversion"/>
  </si>
  <si>
    <t>FOB SHENZHEN</t>
    <phoneticPr fontId="5" type="noConversion"/>
  </si>
  <si>
    <t>1398E</t>
  </si>
  <si>
    <t>6998</t>
  </si>
  <si>
    <t>TJ-6084</t>
  </si>
  <si>
    <t>BLACK PU</t>
    <phoneticPr fontId="5" type="noConversion"/>
  </si>
  <si>
    <t>NATURAL PU</t>
    <phoneticPr fontId="5" type="noConversion"/>
  </si>
  <si>
    <t>WHITE PU</t>
    <phoneticPr fontId="5" type="noConversion"/>
  </si>
  <si>
    <t>1513C</t>
  </si>
  <si>
    <t>7058</t>
  </si>
  <si>
    <t>TJ-3925</t>
  </si>
  <si>
    <t>FOREST PU</t>
    <phoneticPr fontId="5" type="noConversion"/>
  </si>
  <si>
    <t>1514C</t>
  </si>
  <si>
    <t>7059</t>
  </si>
  <si>
    <t>TJ-3925A</t>
  </si>
  <si>
    <t>BGE/NAT PU</t>
    <phoneticPr fontId="5" type="noConversion"/>
  </si>
  <si>
    <t>DEMIN/GRAY PU</t>
    <phoneticPr fontId="5" type="noConversion"/>
  </si>
  <si>
    <t>1489B</t>
  </si>
  <si>
    <t>7046</t>
  </si>
  <si>
    <t>TJ-6329</t>
  </si>
  <si>
    <t>1491E</t>
  </si>
  <si>
    <t>7048</t>
  </si>
  <si>
    <t>TJ-6346</t>
  </si>
  <si>
    <t>1491F</t>
  </si>
  <si>
    <t>VAL</t>
  </si>
  <si>
    <t>TJ-6284</t>
  </si>
  <si>
    <t>BLK/GLD PU</t>
    <phoneticPr fontId="5" type="noConversion"/>
  </si>
  <si>
    <t>WHT/GLD PU</t>
    <phoneticPr fontId="5" type="noConversion"/>
  </si>
  <si>
    <t>7071</t>
  </si>
  <si>
    <t>TJ-6527</t>
  </si>
  <si>
    <t>BLUE PU</t>
    <phoneticPr fontId="5" type="noConversion"/>
  </si>
  <si>
    <t>BROWN PU</t>
    <phoneticPr fontId="5" type="noConversion"/>
  </si>
  <si>
    <t>BURGUNDY PU</t>
    <phoneticPr fontId="5" type="noConversion"/>
  </si>
  <si>
    <t>GREEN PU</t>
    <phoneticPr fontId="5" type="noConversion"/>
  </si>
  <si>
    <t>TOTAL:</t>
    <phoneticPr fontId="5" type="noConversion"/>
  </si>
  <si>
    <t xml:space="preserve">BENEFICIARY :   </t>
    <phoneticPr fontId="5" type="noConversion"/>
  </si>
  <si>
    <t>ACCOUNT :</t>
    <phoneticPr fontId="5" type="noConversion"/>
  </si>
  <si>
    <t>5802839504</t>
    <phoneticPr fontId="5" type="noConversion"/>
  </si>
  <si>
    <t>BANK :</t>
    <phoneticPr fontId="5" type="noConversion"/>
  </si>
  <si>
    <t>CITIBANK TAIWAN LIMITED</t>
    <phoneticPr fontId="5" type="noConversion"/>
  </si>
  <si>
    <t>NO. 1, Songzhi Road, Taipei City 110, Taiwan R.O.C.</t>
    <phoneticPr fontId="5" type="noConversion"/>
  </si>
  <si>
    <t>SWIFT CODE: CITITWTX</t>
    <phoneticPr fontId="5" type="noConversion"/>
  </si>
  <si>
    <t>JERRY CHANG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</si>
</sst>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m/dd/yyyy"/>
    <numFmt numFmtId="177" formatCode="m&quot;月&quot;d&quot;日&quot;"/>
    <numFmt numFmtId="178" formatCode="[$-409]d\-mmm\-yy;@"/>
    <numFmt numFmtId="179" formatCode="[$-409]d\-mmm;@"/>
    <numFmt numFmtId="180" formatCode="#,##0_ "/>
    <numFmt numFmtId="181" formatCode="#,##0.00_ "/>
  </numFmts>
  <fonts count="2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4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新細明體"/>
      <family val="1"/>
      <charset val="136"/>
    </font>
    <font>
      <sz val="10"/>
      <color indexed="8"/>
      <name val="Arial"/>
      <family val="2"/>
    </font>
    <font>
      <sz val="14"/>
      <name val="Lucida Handwriting"/>
      <family val="4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179" fontId="1" fillId="0" borderId="0">
      <alignment vertical="center"/>
    </xf>
    <xf numFmtId="0" fontId="18" fillId="0" borderId="0">
      <alignment vertical="top"/>
    </xf>
  </cellStyleXfs>
  <cellXfs count="64">
    <xf numFmtId="0" fontId="0" fillId="0" borderId="0" xfId="0"/>
    <xf numFmtId="0" fontId="3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40" fontId="6" fillId="0" borderId="0" xfId="1" applyNumberFormat="1" applyFo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40" fontId="7" fillId="0" borderId="0" xfId="1" applyNumberFormat="1" applyFont="1" applyAlignment="1">
      <alignment horizontal="right" vertical="center"/>
    </xf>
    <xf numFmtId="176" fontId="7" fillId="0" borderId="0" xfId="1" applyNumberFormat="1" applyFont="1" applyAlignment="1">
      <alignment horizontal="left" vertical="center"/>
    </xf>
    <xf numFmtId="0" fontId="9" fillId="0" borderId="0" xfId="1" applyFont="1">
      <alignment vertical="center"/>
    </xf>
    <xf numFmtId="0" fontId="9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177" fontId="7" fillId="0" borderId="0" xfId="1" applyNumberFormat="1" applyFont="1" applyAlignment="1">
      <alignment horizontal="center" vertical="center"/>
    </xf>
    <xf numFmtId="178" fontId="7" fillId="0" borderId="0" xfId="1" quotePrefix="1" applyNumberFormat="1" applyFont="1" applyAlignment="1">
      <alignment horizontal="left" vertical="center"/>
    </xf>
    <xf numFmtId="40" fontId="7" fillId="0" borderId="0" xfId="1" applyNumberFormat="1" applyFont="1">
      <alignment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40" fontId="10" fillId="0" borderId="0" xfId="1" applyNumberFormat="1" applyFont="1">
      <alignment vertical="center"/>
    </xf>
    <xf numFmtId="0" fontId="10" fillId="0" borderId="0" xfId="1" applyFont="1">
      <alignment vertical="center"/>
    </xf>
    <xf numFmtId="0" fontId="11" fillId="0" borderId="1" xfId="1" applyFont="1" applyBorder="1" applyAlignment="1">
      <alignment horizontal="center" vertical="center"/>
    </xf>
    <xf numFmtId="40" fontId="11" fillId="0" borderId="1" xfId="1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40" fontId="11" fillId="0" borderId="1" xfId="2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4" xfId="2" applyFont="1" applyBorder="1" applyAlignment="1">
      <alignment horizontal="left" vertical="center"/>
    </xf>
    <xf numFmtId="180" fontId="10" fillId="0" borderId="5" xfId="3" applyNumberFormat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" vertical="center"/>
    </xf>
    <xf numFmtId="181" fontId="12" fillId="0" borderId="3" xfId="1" applyNumberFormat="1" applyFont="1" applyBorder="1" applyAlignment="1">
      <alignment horizontal="right" vertical="center"/>
    </xf>
    <xf numFmtId="0" fontId="12" fillId="0" borderId="3" xfId="1" applyFont="1" applyBorder="1" applyAlignment="1">
      <alignment horizontal="center" vertical="center"/>
    </xf>
    <xf numFmtId="0" fontId="12" fillId="0" borderId="3" xfId="2" applyFont="1" applyBorder="1" applyAlignment="1">
      <alignment horizontal="left" vertical="center"/>
    </xf>
    <xf numFmtId="0" fontId="12" fillId="0" borderId="5" xfId="1" applyFont="1" applyBorder="1" applyAlignment="1">
      <alignment horizontal="center" vertical="center"/>
    </xf>
    <xf numFmtId="2" fontId="13" fillId="0" borderId="3" xfId="1" applyNumberFormat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3" fontId="11" fillId="0" borderId="6" xfId="1" applyNumberFormat="1" applyFont="1" applyBorder="1" applyAlignment="1">
      <alignment horizontal="center" vertical="center"/>
    </xf>
    <xf numFmtId="3" fontId="11" fillId="0" borderId="7" xfId="1" applyNumberFormat="1" applyFont="1" applyBorder="1" applyAlignment="1">
      <alignment horizontal="center" vertical="center"/>
    </xf>
    <xf numFmtId="40" fontId="10" fillId="0" borderId="6" xfId="1" applyNumberFormat="1" applyFont="1" applyBorder="1" applyAlignment="1">
      <alignment horizontal="center" vertical="center"/>
    </xf>
    <xf numFmtId="4" fontId="11" fillId="0" borderId="7" xfId="1" applyNumberFormat="1" applyFont="1" applyBorder="1" applyAlignment="1">
      <alignment horizontal="right" vertical="center"/>
    </xf>
    <xf numFmtId="3" fontId="8" fillId="0" borderId="0" xfId="1" applyNumberFormat="1" applyFont="1" applyAlignment="1">
      <alignment horizontal="center" vertical="center"/>
    </xf>
    <xf numFmtId="3" fontId="14" fillId="0" borderId="0" xfId="1" applyNumberFormat="1" applyFont="1" applyAlignment="1">
      <alignment horizontal="center" vertical="center"/>
    </xf>
    <xf numFmtId="40" fontId="14" fillId="0" borderId="0" xfId="1" applyNumberFormat="1" applyFont="1">
      <alignment vertical="center"/>
    </xf>
    <xf numFmtId="4" fontId="15" fillId="0" borderId="0" xfId="1" applyNumberFormat="1" applyFont="1" applyAlignment="1">
      <alignment horizontal="right" vertical="center"/>
    </xf>
    <xf numFmtId="3" fontId="7" fillId="0" borderId="0" xfId="1" applyNumberFormat="1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6" fillId="0" borderId="0" xfId="2" applyFont="1" applyAlignment="1">
      <alignment horizontal="center" vertical="center"/>
    </xf>
    <xf numFmtId="3" fontId="7" fillId="0" borderId="0" xfId="2" applyNumberFormat="1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4" fontId="7" fillId="0" borderId="0" xfId="1" applyNumberFormat="1" applyFont="1" applyAlignment="1">
      <alignment horizontal="center" vertical="center"/>
    </xf>
    <xf numFmtId="0" fontId="7" fillId="0" borderId="0" xfId="2" quotePrefix="1" applyFont="1">
      <alignment vertical="center"/>
    </xf>
    <xf numFmtId="0" fontId="7" fillId="0" borderId="0" xfId="2" applyFont="1">
      <alignment vertical="center"/>
    </xf>
    <xf numFmtId="3" fontId="7" fillId="0" borderId="0" xfId="2" applyNumberFormat="1" applyFont="1" applyAlignment="1">
      <alignment horizontal="left" vertical="center"/>
    </xf>
    <xf numFmtId="0" fontId="7" fillId="0" borderId="0" xfId="4" applyFont="1" applyAlignment="1">
      <alignment vertical="center"/>
    </xf>
    <xf numFmtId="0" fontId="2" fillId="0" borderId="0" xfId="2">
      <alignment vertical="center"/>
    </xf>
    <xf numFmtId="0" fontId="19" fillId="0" borderId="8" xfId="2" applyFont="1" applyBorder="1" applyAlignment="1">
      <alignment horizontal="center" vertical="center"/>
    </xf>
    <xf numFmtId="0" fontId="17" fillId="0" borderId="0" xfId="2" applyFont="1" applyAlignment="1">
      <alignment horizontal="left" vertical="center"/>
    </xf>
    <xf numFmtId="0" fontId="20" fillId="0" borderId="0" xfId="1" applyFont="1">
      <alignment vertical="center"/>
    </xf>
    <xf numFmtId="0" fontId="3" fillId="0" borderId="0" xfId="1" applyFont="1" applyAlignment="1">
      <alignment horizontal="center" vertical="center"/>
    </xf>
  </cellXfs>
  <cellStyles count="5">
    <cellStyle name="一般" xfId="0" builtinId="0"/>
    <cellStyle name="一般 2" xfId="2" xr:uid="{05EA78F9-16A0-437E-B7A7-07371F33D06D}"/>
    <cellStyle name="一般 23 3" xfId="3" xr:uid="{DA9DC43B-43E6-4867-A99D-CB50837F8AFF}"/>
    <cellStyle name="一般_PI.GB" xfId="1" xr:uid="{9110DEA0-A75C-4EA8-9A1F-1C7D23DAC6E1}"/>
    <cellStyle name="樣式 1" xfId="4" xr:uid="{B5C529DF-1CB3-478B-9483-27B42583BF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C3AA-18FA-4D2A-8767-6F2EDDF95EA0}">
  <dimension ref="A1:G76"/>
  <sheetViews>
    <sheetView tabSelected="1" zoomScaleNormal="100" workbookViewId="0">
      <selection activeCell="L13" sqref="L13"/>
    </sheetView>
  </sheetViews>
  <sheetFormatPr defaultColWidth="9" defaultRowHeight="15.05"/>
  <cols>
    <col min="1" max="1" width="15.375" style="2" customWidth="1"/>
    <col min="2" max="2" width="8.875" style="3" customWidth="1"/>
    <col min="3" max="3" width="10.5" style="2" customWidth="1"/>
    <col min="4" max="4" width="27" style="2" customWidth="1"/>
    <col min="5" max="5" width="7.375" style="2" bestFit="1" customWidth="1"/>
    <col min="6" max="6" width="8.25" style="2" bestFit="1" customWidth="1"/>
    <col min="7" max="7" width="17.25" style="2" customWidth="1"/>
    <col min="8" max="8" width="5.5" style="2" customWidth="1"/>
    <col min="9" max="16384" width="9" style="2"/>
  </cols>
  <sheetData>
    <row r="1" spans="1:7" ht="17.7">
      <c r="A1" s="63" t="s">
        <v>0</v>
      </c>
      <c r="B1" s="63"/>
      <c r="C1" s="63"/>
      <c r="D1" s="63"/>
      <c r="E1" s="63"/>
      <c r="F1" s="63"/>
      <c r="G1" s="63"/>
    </row>
    <row r="2" spans="1:7" ht="15.55" customHeight="1">
      <c r="A2" s="1"/>
      <c r="B2" s="1"/>
      <c r="C2" s="1"/>
      <c r="D2" s="1"/>
      <c r="E2" s="1"/>
      <c r="F2" s="1"/>
      <c r="G2" s="1"/>
    </row>
    <row r="3" spans="1:7" ht="15.55" customHeight="1">
      <c r="A3" s="3"/>
      <c r="C3" s="3"/>
      <c r="D3" s="4"/>
      <c r="E3" s="4"/>
      <c r="F3" s="5"/>
      <c r="G3" s="6"/>
    </row>
    <row r="4" spans="1:7">
      <c r="A4" s="7" t="s">
        <v>1</v>
      </c>
      <c r="B4" s="8" t="s">
        <v>2</v>
      </c>
      <c r="C4" s="9"/>
      <c r="D4" s="6"/>
      <c r="E4" s="6"/>
      <c r="F4" s="10" t="s">
        <v>3</v>
      </c>
      <c r="G4" s="7" t="s">
        <v>4</v>
      </c>
    </row>
    <row r="5" spans="1:7">
      <c r="A5" s="7" t="s">
        <v>5</v>
      </c>
      <c r="B5" s="7" t="s">
        <v>6</v>
      </c>
      <c r="C5" s="7"/>
      <c r="D5" s="6"/>
      <c r="E5" s="6"/>
      <c r="F5" s="10" t="s">
        <v>7</v>
      </c>
      <c r="G5" s="11">
        <v>46031</v>
      </c>
    </row>
    <row r="6" spans="1:7">
      <c r="A6" s="7"/>
      <c r="B6" s="7"/>
      <c r="C6" s="7"/>
      <c r="D6" s="6"/>
    </row>
    <row r="7" spans="1:7">
      <c r="A7" s="7"/>
      <c r="B7" s="7"/>
      <c r="C7" s="7"/>
      <c r="D7" s="6"/>
      <c r="F7" s="10"/>
      <c r="G7" s="11"/>
    </row>
    <row r="8" spans="1:7">
      <c r="B8" s="12"/>
      <c r="C8" s="12"/>
      <c r="D8" s="13" t="s">
        <v>8</v>
      </c>
      <c r="E8" s="6"/>
      <c r="F8" s="12"/>
      <c r="G8" s="14"/>
    </row>
    <row r="9" spans="1:7">
      <c r="A9" s="3"/>
      <c r="C9" s="3"/>
      <c r="D9" s="4"/>
      <c r="E9" s="4"/>
      <c r="F9" s="5"/>
      <c r="G9" s="15"/>
    </row>
    <row r="10" spans="1:7">
      <c r="A10" s="7" t="s">
        <v>9</v>
      </c>
      <c r="B10" s="7"/>
      <c r="C10" s="16">
        <v>46027</v>
      </c>
      <c r="D10" s="7"/>
      <c r="E10" s="7"/>
      <c r="F10" s="17"/>
      <c r="G10" s="14"/>
    </row>
    <row r="11" spans="1:7">
      <c r="A11" s="7" t="s">
        <v>10</v>
      </c>
      <c r="B11" s="7"/>
      <c r="C11" s="7" t="s">
        <v>11</v>
      </c>
      <c r="D11" s="6"/>
      <c r="E11" s="6"/>
      <c r="F11" s="17"/>
      <c r="G11" s="6"/>
    </row>
    <row r="12" spans="1:7" s="21" customFormat="1" ht="15.55" customHeight="1">
      <c r="A12" s="18"/>
      <c r="B12" s="18"/>
      <c r="C12" s="18"/>
      <c r="D12" s="19"/>
      <c r="E12" s="19"/>
      <c r="F12" s="20"/>
      <c r="G12" s="19"/>
    </row>
    <row r="13" spans="1:7" s="21" customFormat="1" ht="15.55" customHeight="1">
      <c r="A13" s="22" t="s">
        <v>12</v>
      </c>
      <c r="B13" s="22" t="s">
        <v>13</v>
      </c>
      <c r="C13" s="22" t="s">
        <v>14</v>
      </c>
      <c r="D13" s="22" t="s">
        <v>15</v>
      </c>
      <c r="E13" s="22" t="s">
        <v>16</v>
      </c>
      <c r="F13" s="23" t="s">
        <v>17</v>
      </c>
      <c r="G13" s="22" t="s">
        <v>18</v>
      </c>
    </row>
    <row r="14" spans="1:7" s="21" customFormat="1" ht="15.55" customHeight="1">
      <c r="A14" s="24" t="s">
        <v>19</v>
      </c>
      <c r="B14" s="25"/>
      <c r="C14" s="26"/>
      <c r="D14" s="24" t="s">
        <v>20</v>
      </c>
      <c r="E14" s="24" t="s">
        <v>21</v>
      </c>
      <c r="F14" s="27" t="s">
        <v>22</v>
      </c>
      <c r="G14" s="24" t="s">
        <v>23</v>
      </c>
    </row>
    <row r="15" spans="1:7" s="21" customFormat="1" ht="15.55" customHeight="1">
      <c r="A15" s="28" t="s">
        <v>24</v>
      </c>
      <c r="B15" s="29" t="s">
        <v>25</v>
      </c>
      <c r="C15" s="29" t="s">
        <v>26</v>
      </c>
      <c r="D15" s="30" t="s">
        <v>27</v>
      </c>
      <c r="E15" s="31">
        <v>180</v>
      </c>
      <c r="F15" s="32">
        <v>4.5999999999999996</v>
      </c>
      <c r="G15" s="33">
        <f>SUM(E15*F15)</f>
        <v>827.99999999999989</v>
      </c>
    </row>
    <row r="16" spans="1:7" s="21" customFormat="1" ht="15.55" customHeight="1">
      <c r="A16" s="28" t="s">
        <v>24</v>
      </c>
      <c r="B16" s="34" t="s">
        <v>25</v>
      </c>
      <c r="C16" s="34" t="s">
        <v>26</v>
      </c>
      <c r="D16" s="35" t="s">
        <v>28</v>
      </c>
      <c r="E16" s="31">
        <v>240</v>
      </c>
      <c r="F16" s="32">
        <v>4.5999999999999996</v>
      </c>
      <c r="G16" s="33">
        <f t="shared" ref="G16:G32" si="0">SUM(E16*F16)</f>
        <v>1104</v>
      </c>
    </row>
    <row r="17" spans="1:7" s="21" customFormat="1" ht="15.55" customHeight="1">
      <c r="A17" s="28" t="s">
        <v>24</v>
      </c>
      <c r="B17" s="34" t="s">
        <v>25</v>
      </c>
      <c r="C17" s="34" t="s">
        <v>26</v>
      </c>
      <c r="D17" s="35" t="s">
        <v>29</v>
      </c>
      <c r="E17" s="31">
        <v>240</v>
      </c>
      <c r="F17" s="32">
        <v>4.5999999999999996</v>
      </c>
      <c r="G17" s="33">
        <f t="shared" si="0"/>
        <v>1104</v>
      </c>
    </row>
    <row r="18" spans="1:7" s="21" customFormat="1" ht="15.55" customHeight="1">
      <c r="A18" s="28" t="s">
        <v>30</v>
      </c>
      <c r="B18" s="34" t="s">
        <v>31</v>
      </c>
      <c r="C18" s="34" t="s">
        <v>32</v>
      </c>
      <c r="D18" s="35" t="s">
        <v>29</v>
      </c>
      <c r="E18" s="31">
        <v>1020</v>
      </c>
      <c r="F18" s="32">
        <v>4.2</v>
      </c>
      <c r="G18" s="33">
        <f t="shared" si="0"/>
        <v>4284</v>
      </c>
    </row>
    <row r="19" spans="1:7" s="21" customFormat="1" ht="15.55" customHeight="1">
      <c r="A19" s="28" t="s">
        <v>30</v>
      </c>
      <c r="B19" s="34" t="s">
        <v>31</v>
      </c>
      <c r="C19" s="36" t="s">
        <v>32</v>
      </c>
      <c r="D19" s="35" t="s">
        <v>33</v>
      </c>
      <c r="E19" s="31">
        <v>480</v>
      </c>
      <c r="F19" s="32">
        <v>4.2</v>
      </c>
      <c r="G19" s="33">
        <f t="shared" si="0"/>
        <v>2016</v>
      </c>
    </row>
    <row r="20" spans="1:7" s="21" customFormat="1" ht="15.55" customHeight="1">
      <c r="A20" s="28" t="s">
        <v>34</v>
      </c>
      <c r="B20" s="34" t="s">
        <v>35</v>
      </c>
      <c r="C20" s="36" t="s">
        <v>36</v>
      </c>
      <c r="D20" s="35" t="s">
        <v>37</v>
      </c>
      <c r="E20" s="31">
        <v>816</v>
      </c>
      <c r="F20" s="32">
        <v>4.2</v>
      </c>
      <c r="G20" s="33">
        <f t="shared" si="0"/>
        <v>3427.2000000000003</v>
      </c>
    </row>
    <row r="21" spans="1:7" s="21" customFormat="1" ht="15.55" customHeight="1">
      <c r="A21" s="28" t="s">
        <v>34</v>
      </c>
      <c r="B21" s="34" t="s">
        <v>35</v>
      </c>
      <c r="C21" s="36" t="s">
        <v>36</v>
      </c>
      <c r="D21" s="35" t="s">
        <v>38</v>
      </c>
      <c r="E21" s="31">
        <v>600</v>
      </c>
      <c r="F21" s="32">
        <v>4.2</v>
      </c>
      <c r="G21" s="33">
        <f t="shared" si="0"/>
        <v>2520</v>
      </c>
    </row>
    <row r="22" spans="1:7" s="21" customFormat="1" ht="15.55" customHeight="1">
      <c r="A22" s="28" t="s">
        <v>39</v>
      </c>
      <c r="B22" s="34" t="s">
        <v>40</v>
      </c>
      <c r="C22" s="36" t="s">
        <v>41</v>
      </c>
      <c r="D22" s="35" t="s">
        <v>27</v>
      </c>
      <c r="E22" s="31">
        <v>210</v>
      </c>
      <c r="F22" s="32">
        <v>4.2</v>
      </c>
      <c r="G22" s="33">
        <f t="shared" si="0"/>
        <v>882</v>
      </c>
    </row>
    <row r="23" spans="1:7" s="21" customFormat="1" ht="15.55" customHeight="1">
      <c r="A23" s="28" t="s">
        <v>42</v>
      </c>
      <c r="B23" s="34" t="s">
        <v>43</v>
      </c>
      <c r="C23" s="36" t="s">
        <v>44</v>
      </c>
      <c r="D23" s="35" t="s">
        <v>27</v>
      </c>
      <c r="E23" s="31">
        <v>330</v>
      </c>
      <c r="F23" s="32">
        <v>4.6500000000000004</v>
      </c>
      <c r="G23" s="33">
        <f t="shared" si="0"/>
        <v>1534.5000000000002</v>
      </c>
    </row>
    <row r="24" spans="1:7" s="21" customFormat="1" ht="15.55" customHeight="1">
      <c r="A24" s="28" t="s">
        <v>45</v>
      </c>
      <c r="B24" s="34" t="s">
        <v>43</v>
      </c>
      <c r="C24" s="36" t="s">
        <v>44</v>
      </c>
      <c r="D24" s="35" t="s">
        <v>27</v>
      </c>
      <c r="E24" s="31">
        <v>420</v>
      </c>
      <c r="F24" s="32">
        <v>4.6500000000000004</v>
      </c>
      <c r="G24" s="33">
        <f t="shared" si="0"/>
        <v>1953.0000000000002</v>
      </c>
    </row>
    <row r="25" spans="1:7" s="21" customFormat="1" ht="15.55" customHeight="1">
      <c r="A25" s="28">
        <v>1534</v>
      </c>
      <c r="B25" s="34" t="s">
        <v>46</v>
      </c>
      <c r="C25" s="36" t="s">
        <v>47</v>
      </c>
      <c r="D25" s="35" t="s">
        <v>27</v>
      </c>
      <c r="E25" s="31">
        <v>252</v>
      </c>
      <c r="F25" s="37">
        <v>4.5</v>
      </c>
      <c r="G25" s="33">
        <f t="shared" si="0"/>
        <v>1134</v>
      </c>
    </row>
    <row r="26" spans="1:7" s="21" customFormat="1" ht="15.55" customHeight="1">
      <c r="A26" s="28">
        <v>1534</v>
      </c>
      <c r="B26" s="34" t="s">
        <v>46</v>
      </c>
      <c r="C26" s="36" t="s">
        <v>47</v>
      </c>
      <c r="D26" s="35" t="s">
        <v>48</v>
      </c>
      <c r="E26" s="31">
        <v>252</v>
      </c>
      <c r="F26" s="37">
        <v>4.5</v>
      </c>
      <c r="G26" s="33">
        <f t="shared" si="0"/>
        <v>1134</v>
      </c>
    </row>
    <row r="27" spans="1:7" s="21" customFormat="1" ht="15.55" customHeight="1">
      <c r="A27" s="28">
        <v>1534</v>
      </c>
      <c r="B27" s="34" t="s">
        <v>46</v>
      </c>
      <c r="C27" s="36" t="s">
        <v>47</v>
      </c>
      <c r="D27" s="35" t="s">
        <v>49</v>
      </c>
      <c r="E27" s="31">
        <v>183</v>
      </c>
      <c r="F27" s="37">
        <v>4.5</v>
      </c>
      <c r="G27" s="33">
        <f t="shared" si="0"/>
        <v>823.5</v>
      </c>
    </row>
    <row r="28" spans="1:7" s="21" customFormat="1" ht="15.55" customHeight="1">
      <c r="A28" s="28">
        <v>1536</v>
      </c>
      <c r="B28" s="34" t="s">
        <v>50</v>
      </c>
      <c r="C28" s="36" t="s">
        <v>51</v>
      </c>
      <c r="D28" s="35" t="s">
        <v>27</v>
      </c>
      <c r="E28" s="31">
        <v>540</v>
      </c>
      <c r="F28" s="32">
        <v>4.75</v>
      </c>
      <c r="G28" s="33">
        <f t="shared" si="0"/>
        <v>2565</v>
      </c>
    </row>
    <row r="29" spans="1:7" s="21" customFormat="1" ht="15.55" customHeight="1">
      <c r="A29" s="28">
        <v>1536</v>
      </c>
      <c r="B29" s="34" t="s">
        <v>50</v>
      </c>
      <c r="C29" s="36" t="s">
        <v>51</v>
      </c>
      <c r="D29" s="35" t="s">
        <v>52</v>
      </c>
      <c r="E29" s="31">
        <v>288</v>
      </c>
      <c r="F29" s="32">
        <v>4.75</v>
      </c>
      <c r="G29" s="33">
        <f t="shared" si="0"/>
        <v>1368</v>
      </c>
    </row>
    <row r="30" spans="1:7" s="21" customFormat="1" ht="15.55" customHeight="1">
      <c r="A30" s="28">
        <v>1536</v>
      </c>
      <c r="B30" s="34" t="s">
        <v>50</v>
      </c>
      <c r="C30" s="36" t="s">
        <v>51</v>
      </c>
      <c r="D30" s="35" t="s">
        <v>53</v>
      </c>
      <c r="E30" s="31">
        <v>390</v>
      </c>
      <c r="F30" s="32">
        <v>4.75</v>
      </c>
      <c r="G30" s="33">
        <f t="shared" si="0"/>
        <v>1852.5</v>
      </c>
    </row>
    <row r="31" spans="1:7" s="21" customFormat="1" ht="15.55" customHeight="1">
      <c r="A31" s="28">
        <v>1536</v>
      </c>
      <c r="B31" s="34" t="s">
        <v>50</v>
      </c>
      <c r="C31" s="36" t="s">
        <v>51</v>
      </c>
      <c r="D31" s="35" t="s">
        <v>54</v>
      </c>
      <c r="E31" s="31">
        <v>390</v>
      </c>
      <c r="F31" s="32">
        <v>4.75</v>
      </c>
      <c r="G31" s="33">
        <f t="shared" si="0"/>
        <v>1852.5</v>
      </c>
    </row>
    <row r="32" spans="1:7" s="21" customFormat="1" ht="15.55" customHeight="1">
      <c r="A32" s="28">
        <v>1536</v>
      </c>
      <c r="B32" s="34" t="s">
        <v>50</v>
      </c>
      <c r="C32" s="36" t="s">
        <v>51</v>
      </c>
      <c r="D32" s="35" t="s">
        <v>55</v>
      </c>
      <c r="E32" s="31">
        <v>288</v>
      </c>
      <c r="F32" s="32">
        <v>4.75</v>
      </c>
      <c r="G32" s="33">
        <f t="shared" si="0"/>
        <v>1368</v>
      </c>
    </row>
    <row r="33" spans="1:7" s="21" customFormat="1" ht="15.55" customHeight="1" thickBot="1">
      <c r="A33" s="38"/>
      <c r="B33" s="38"/>
      <c r="C33" s="39"/>
      <c r="D33" s="40" t="s">
        <v>56</v>
      </c>
      <c r="E33" s="41">
        <f>SUM(E15:E32)</f>
        <v>7119</v>
      </c>
      <c r="F33" s="42"/>
      <c r="G33" s="43">
        <f>SUM(G15:G32)</f>
        <v>31750.2</v>
      </c>
    </row>
    <row r="34" spans="1:7" ht="15.55" customHeight="1" thickTop="1">
      <c r="A34" s="6"/>
      <c r="B34" s="7"/>
      <c r="C34" s="6"/>
      <c r="D34" s="44"/>
      <c r="E34" s="45"/>
      <c r="F34" s="46"/>
      <c r="G34" s="47"/>
    </row>
    <row r="35" spans="1:7" ht="15.55" customHeight="1">
      <c r="A35" s="6"/>
      <c r="B35" s="7"/>
      <c r="C35" s="6"/>
      <c r="D35" s="44"/>
      <c r="E35" s="48"/>
      <c r="F35" s="17"/>
      <c r="G35" s="14"/>
    </row>
    <row r="36" spans="1:7">
      <c r="A36" s="49" t="s">
        <v>57</v>
      </c>
      <c r="B36" s="50" t="s">
        <v>0</v>
      </c>
      <c r="C36" s="51"/>
      <c r="E36" s="52"/>
      <c r="F36" s="53"/>
      <c r="G36" s="54"/>
    </row>
    <row r="37" spans="1:7">
      <c r="A37" s="49" t="s">
        <v>58</v>
      </c>
      <c r="B37" s="55" t="s">
        <v>59</v>
      </c>
      <c r="C37" s="50"/>
      <c r="E37" s="14"/>
      <c r="F37" s="14"/>
      <c r="G37" s="14"/>
    </row>
    <row r="38" spans="1:7">
      <c r="A38" s="49" t="s">
        <v>60</v>
      </c>
      <c r="B38" s="56" t="s">
        <v>61</v>
      </c>
      <c r="C38" s="57"/>
      <c r="E38" s="14"/>
      <c r="F38" s="14"/>
      <c r="G38" s="14"/>
    </row>
    <row r="39" spans="1:7">
      <c r="A39" s="50"/>
      <c r="B39" s="58" t="s">
        <v>62</v>
      </c>
      <c r="C39" s="57"/>
      <c r="E39" s="14"/>
      <c r="F39" s="14"/>
      <c r="G39" s="14"/>
    </row>
    <row r="40" spans="1:7">
      <c r="A40" s="50"/>
      <c r="B40" s="50" t="s">
        <v>63</v>
      </c>
      <c r="C40" s="57"/>
      <c r="E40" s="14"/>
      <c r="F40" s="14"/>
      <c r="G40" s="14"/>
    </row>
    <row r="41" spans="1:7" ht="16.399999999999999">
      <c r="A41" s="50"/>
      <c r="B41" s="59"/>
      <c r="C41" s="50"/>
      <c r="D41" s="57"/>
      <c r="E41" s="14"/>
      <c r="F41" s="14"/>
      <c r="G41" s="14"/>
    </row>
    <row r="43" spans="1:7">
      <c r="D43" s="13" t="s">
        <v>0</v>
      </c>
      <c r="E43" s="54"/>
    </row>
    <row r="44" spans="1:7" ht="17.7">
      <c r="D44" s="1"/>
      <c r="E44" s="54"/>
    </row>
    <row r="45" spans="1:7" ht="19">
      <c r="D45" s="60" t="s">
        <v>64</v>
      </c>
      <c r="E45" s="14"/>
    </row>
    <row r="46" spans="1:7">
      <c r="C46" s="56"/>
      <c r="D46" s="61"/>
      <c r="E46" s="14"/>
    </row>
    <row r="47" spans="1:7" ht="15.05" customHeight="1">
      <c r="C47" s="56"/>
      <c r="D47" s="61"/>
      <c r="E47" s="14"/>
    </row>
    <row r="48" spans="1:7" ht="15.05" customHeight="1"/>
    <row r="49" spans="1:7" ht="15.05" customHeight="1">
      <c r="D49" s="62"/>
    </row>
    <row r="50" spans="1:7" ht="15.05" customHeight="1"/>
    <row r="51" spans="1:7" ht="15.05" customHeight="1"/>
    <row r="52" spans="1:7" ht="15.05" customHeight="1"/>
    <row r="53" spans="1:7" ht="15.05" customHeight="1"/>
    <row r="54" spans="1:7" ht="15.05" customHeight="1"/>
    <row r="55" spans="1:7" ht="15.05" customHeight="1"/>
    <row r="56" spans="1:7" ht="15.05" customHeight="1"/>
    <row r="57" spans="1:7" ht="15.05" customHeight="1"/>
    <row r="58" spans="1:7" ht="15.05" customHeight="1"/>
    <row r="59" spans="1:7" ht="15.05" customHeight="1"/>
    <row r="60" spans="1:7" s="14" customFormat="1" ht="15.55" customHeight="1">
      <c r="A60" s="2"/>
      <c r="B60" s="3"/>
      <c r="C60" s="2"/>
      <c r="D60" s="2"/>
      <c r="E60" s="2"/>
      <c r="F60" s="2"/>
      <c r="G60" s="2"/>
    </row>
    <row r="61" spans="1:7" s="14" customFormat="1" ht="15.55" customHeight="1">
      <c r="A61" s="2"/>
      <c r="B61" s="3"/>
      <c r="C61" s="2"/>
      <c r="D61" s="2"/>
      <c r="E61" s="2"/>
      <c r="F61" s="2"/>
      <c r="G61" s="2"/>
    </row>
    <row r="62" spans="1:7" s="14" customFormat="1" ht="15.55" customHeight="1">
      <c r="A62" s="2"/>
      <c r="B62" s="3"/>
      <c r="C62" s="2"/>
      <c r="D62" s="2"/>
      <c r="E62" s="2"/>
      <c r="F62" s="2"/>
      <c r="G62" s="2"/>
    </row>
    <row r="63" spans="1:7" s="14" customFormat="1" ht="15.55" customHeight="1">
      <c r="A63" s="2"/>
      <c r="B63" s="3"/>
      <c r="C63" s="2"/>
      <c r="D63" s="2"/>
      <c r="E63" s="2"/>
      <c r="F63" s="2"/>
      <c r="G63" s="2"/>
    </row>
    <row r="64" spans="1:7" s="14" customFormat="1" ht="15.55" customHeight="1">
      <c r="A64" s="2"/>
      <c r="B64" s="3"/>
      <c r="C64" s="2"/>
      <c r="D64" s="2"/>
      <c r="E64" s="2"/>
      <c r="F64" s="2"/>
      <c r="G64" s="2"/>
    </row>
    <row r="65" spans="1:7" s="14" customFormat="1" ht="15.55" customHeight="1">
      <c r="A65" s="2"/>
      <c r="B65" s="3"/>
      <c r="C65" s="2"/>
      <c r="D65" s="2"/>
      <c r="E65" s="2"/>
      <c r="F65" s="2"/>
      <c r="G65" s="2"/>
    </row>
    <row r="66" spans="1:7" s="14" customFormat="1" ht="15.55" customHeight="1">
      <c r="A66" s="2"/>
      <c r="B66" s="3"/>
      <c r="C66" s="2"/>
      <c r="D66" s="2"/>
      <c r="E66" s="2"/>
      <c r="F66" s="2"/>
      <c r="G66" s="2"/>
    </row>
    <row r="67" spans="1:7" s="14" customFormat="1" ht="15.55" customHeight="1">
      <c r="A67" s="2"/>
      <c r="B67" s="3"/>
      <c r="C67" s="2"/>
      <c r="D67" s="2"/>
      <c r="E67" s="2"/>
      <c r="F67" s="2"/>
      <c r="G67" s="2"/>
    </row>
    <row r="68" spans="1:7" ht="15.55" customHeight="1"/>
    <row r="69" spans="1:7" ht="15.55" customHeight="1"/>
    <row r="70" spans="1:7" ht="15.55" customHeight="1"/>
    <row r="71" spans="1:7" ht="15.55" customHeight="1"/>
    <row r="72" spans="1:7" ht="15.55" customHeight="1"/>
    <row r="73" spans="1:7" ht="15.55" customHeight="1"/>
    <row r="74" spans="1:7" ht="15.55" customHeight="1"/>
    <row r="75" spans="1:7" ht="15.55" customHeight="1"/>
    <row r="76" spans="1:7" ht="15.55" customHeight="1"/>
  </sheetData>
  <mergeCells count="1">
    <mergeCell ref="A1:G1"/>
  </mergeCells>
  <phoneticPr fontId="4" type="noConversion"/>
  <printOptions horizontalCentered="1"/>
  <pageMargins left="0" right="0" top="0.39370078740157483" bottom="0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6" sqref="H6"/>
    </sheetView>
  </sheetViews>
  <sheetFormatPr defaultRowHeight="15.0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GB-694M 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dqep</cp:lastModifiedBy>
  <dcterms:created xsi:type="dcterms:W3CDTF">2015-06-05T18:19:34Z</dcterms:created>
  <dcterms:modified xsi:type="dcterms:W3CDTF">2026-04-08T04:18:25Z</dcterms:modified>
</cp:coreProperties>
</file>