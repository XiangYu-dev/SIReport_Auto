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RondoFile\客戶\巨瑞國際\source\SI自動化產製\shipping-tool\document\"/>
    </mc:Choice>
  </mc:AlternateContent>
  <xr:revisionPtr revIDLastSave="0" documentId="13_ncr:1_{1EC3A8C8-8446-4211-9A8B-A164EA796F7B}" xr6:coauthVersionLast="47" xr6:coauthVersionMax="47" xr10:uidLastSave="{00000000-0000-0000-0000-000000000000}"/>
  <bookViews>
    <workbookView xWindow="35640" yWindow="360" windowWidth="15030" windowHeight="15540" xr2:uid="{00000000-000D-0000-FFFF-FFFF00000000}"/>
  </bookViews>
  <sheets>
    <sheet name="SI " sheetId="35" r:id="rId1"/>
    <sheet name="ISF Data Sheet" sheetId="36" r:id="rId2"/>
    <sheet name="PL" sheetId="5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3" i="56" l="1"/>
  <c r="S82" i="56"/>
  <c r="O82" i="56"/>
  <c r="M82" i="56"/>
  <c r="J82" i="56"/>
  <c r="S81" i="56"/>
  <c r="O81" i="56"/>
  <c r="M81" i="56"/>
  <c r="J81" i="56"/>
  <c r="S80" i="56"/>
  <c r="O80" i="56"/>
  <c r="M80" i="56"/>
  <c r="J80" i="56"/>
  <c r="S79" i="56"/>
  <c r="O79" i="56"/>
  <c r="M79" i="56"/>
  <c r="J79" i="56"/>
  <c r="S78" i="56"/>
  <c r="O78" i="56"/>
  <c r="M78" i="56"/>
  <c r="J78" i="56"/>
  <c r="S77" i="56"/>
  <c r="O77" i="56"/>
  <c r="M77" i="56"/>
  <c r="J77" i="56"/>
  <c r="S76" i="56"/>
  <c r="O76" i="56"/>
  <c r="M76" i="56"/>
  <c r="J76" i="56"/>
  <c r="S75" i="56"/>
  <c r="O75" i="56"/>
  <c r="M75" i="56"/>
  <c r="J75" i="56"/>
  <c r="S74" i="56"/>
  <c r="O74" i="56"/>
  <c r="M74" i="56"/>
  <c r="J74" i="56"/>
  <c r="S73" i="56"/>
  <c r="O73" i="56"/>
  <c r="M73" i="56"/>
  <c r="J73" i="56"/>
  <c r="S72" i="56"/>
  <c r="O72" i="56"/>
  <c r="M72" i="56"/>
  <c r="J72" i="56"/>
  <c r="S71" i="56"/>
  <c r="O71" i="56"/>
  <c r="M71" i="56"/>
  <c r="J71" i="56"/>
  <c r="S70" i="56"/>
  <c r="O70" i="56"/>
  <c r="M70" i="56"/>
  <c r="J70" i="56"/>
  <c r="S69" i="56"/>
  <c r="O69" i="56"/>
  <c r="M69" i="56"/>
  <c r="J69" i="56"/>
  <c r="E69" i="56"/>
  <c r="C70" i="56" s="1"/>
  <c r="C69" i="56"/>
  <c r="S68" i="56"/>
  <c r="O68" i="56"/>
  <c r="M68" i="56"/>
  <c r="J68" i="56"/>
  <c r="S67" i="56"/>
  <c r="O67" i="56"/>
  <c r="M67" i="56"/>
  <c r="J67" i="56"/>
  <c r="S66" i="56"/>
  <c r="O66" i="56"/>
  <c r="M66" i="56"/>
  <c r="J66" i="56"/>
  <c r="S65" i="56"/>
  <c r="O65" i="56"/>
  <c r="M65" i="56"/>
  <c r="J65" i="56"/>
  <c r="S64" i="56"/>
  <c r="O64" i="56"/>
  <c r="M64" i="56"/>
  <c r="J64" i="56"/>
  <c r="S63" i="56"/>
  <c r="O63" i="56"/>
  <c r="M63" i="56"/>
  <c r="J63" i="56"/>
  <c r="S62" i="56"/>
  <c r="O62" i="56"/>
  <c r="M62" i="56"/>
  <c r="J62" i="56"/>
  <c r="S61" i="56"/>
  <c r="O61" i="56"/>
  <c r="M61" i="56"/>
  <c r="J61" i="56"/>
  <c r="S60" i="56"/>
  <c r="O60" i="56"/>
  <c r="M60" i="56"/>
  <c r="J60" i="56"/>
  <c r="S59" i="56"/>
  <c r="O59" i="56"/>
  <c r="M59" i="56"/>
  <c r="J59" i="56"/>
  <c r="S58" i="56"/>
  <c r="O58" i="56"/>
  <c r="M58" i="56"/>
  <c r="J58" i="56"/>
  <c r="S57" i="56"/>
  <c r="O57" i="56"/>
  <c r="M57" i="56"/>
  <c r="J57" i="56"/>
  <c r="S56" i="56"/>
  <c r="O56" i="56"/>
  <c r="M56" i="56"/>
  <c r="J56" i="56"/>
  <c r="S55" i="56"/>
  <c r="O55" i="56"/>
  <c r="M55" i="56"/>
  <c r="J55" i="56"/>
  <c r="S54" i="56"/>
  <c r="O54" i="56"/>
  <c r="M54" i="56"/>
  <c r="J54" i="56"/>
  <c r="S53" i="56"/>
  <c r="O53" i="56"/>
  <c r="M53" i="56"/>
  <c r="J53" i="56"/>
  <c r="S52" i="56"/>
  <c r="O52" i="56"/>
  <c r="M52" i="56"/>
  <c r="J52" i="56"/>
  <c r="S51" i="56"/>
  <c r="O51" i="56"/>
  <c r="M51" i="56"/>
  <c r="J51" i="56"/>
  <c r="S50" i="56"/>
  <c r="O50" i="56"/>
  <c r="M50" i="56"/>
  <c r="J50" i="56"/>
  <c r="S49" i="56"/>
  <c r="O49" i="56"/>
  <c r="M49" i="56"/>
  <c r="J49" i="56"/>
  <c r="S48" i="56"/>
  <c r="O48" i="56"/>
  <c r="M48" i="56"/>
  <c r="J48" i="56"/>
  <c r="S47" i="56"/>
  <c r="O47" i="56"/>
  <c r="M47" i="56"/>
  <c r="J47" i="56"/>
  <c r="S46" i="56"/>
  <c r="O46" i="56"/>
  <c r="M46" i="56"/>
  <c r="J46" i="56"/>
  <c r="S45" i="56"/>
  <c r="O45" i="56"/>
  <c r="M45" i="56"/>
  <c r="J45" i="56"/>
  <c r="S44" i="56"/>
  <c r="O44" i="56"/>
  <c r="M44" i="56"/>
  <c r="J44" i="56"/>
  <c r="S43" i="56"/>
  <c r="O43" i="56"/>
  <c r="M43" i="56"/>
  <c r="J43" i="56"/>
  <c r="S42" i="56"/>
  <c r="O42" i="56"/>
  <c r="M42" i="56"/>
  <c r="J42" i="56"/>
  <c r="S41" i="56"/>
  <c r="O41" i="56"/>
  <c r="M41" i="56"/>
  <c r="J41" i="56"/>
  <c r="S40" i="56"/>
  <c r="O40" i="56"/>
  <c r="M40" i="56"/>
  <c r="J40" i="56"/>
  <c r="S39" i="56"/>
  <c r="O39" i="56"/>
  <c r="M39" i="56"/>
  <c r="J39" i="56"/>
  <c r="S38" i="56"/>
  <c r="O38" i="56"/>
  <c r="M38" i="56"/>
  <c r="J38" i="56"/>
  <c r="S37" i="56"/>
  <c r="O37" i="56"/>
  <c r="M37" i="56"/>
  <c r="J37" i="56"/>
  <c r="S36" i="56"/>
  <c r="O36" i="56"/>
  <c r="M36" i="56"/>
  <c r="J36" i="56"/>
  <c r="S35" i="56"/>
  <c r="O35" i="56"/>
  <c r="M35" i="56"/>
  <c r="J35" i="56"/>
  <c r="S34" i="56"/>
  <c r="O34" i="56"/>
  <c r="M34" i="56"/>
  <c r="J34" i="56"/>
  <c r="S33" i="56"/>
  <c r="O33" i="56"/>
  <c r="M33" i="56"/>
  <c r="J33" i="56"/>
  <c r="S32" i="56"/>
  <c r="O32" i="56"/>
  <c r="M32" i="56"/>
  <c r="J32" i="56"/>
  <c r="E32" i="56"/>
  <c r="C33" i="56" s="1"/>
  <c r="C32" i="56"/>
  <c r="S31" i="56"/>
  <c r="O31" i="56"/>
  <c r="M31" i="56"/>
  <c r="J31" i="56"/>
  <c r="S30" i="56"/>
  <c r="O30" i="56"/>
  <c r="M30" i="56"/>
  <c r="J30" i="56"/>
  <c r="S29" i="56"/>
  <c r="O29" i="56"/>
  <c r="M29" i="56"/>
  <c r="J29" i="56"/>
  <c r="E29" i="56"/>
  <c r="C30" i="56" s="1"/>
  <c r="C29" i="56"/>
  <c r="S28" i="56"/>
  <c r="O28" i="56"/>
  <c r="M28" i="56"/>
  <c r="J28" i="56"/>
  <c r="S27" i="56"/>
  <c r="O27" i="56"/>
  <c r="M27" i="56"/>
  <c r="J27" i="56"/>
  <c r="S26" i="56"/>
  <c r="O26" i="56"/>
  <c r="M26" i="56"/>
  <c r="J26" i="56"/>
  <c r="E26" i="56"/>
  <c r="C27" i="56" s="1"/>
  <c r="C26" i="56"/>
  <c r="S25" i="56"/>
  <c r="O25" i="56"/>
  <c r="M25" i="56"/>
  <c r="J25" i="56"/>
  <c r="S24" i="56"/>
  <c r="O24" i="56"/>
  <c r="M24" i="56"/>
  <c r="J24" i="56"/>
  <c r="S23" i="56"/>
  <c r="O23" i="56"/>
  <c r="M23" i="56"/>
  <c r="J23" i="56"/>
  <c r="E23" i="56"/>
  <c r="C24" i="56" s="1"/>
  <c r="C23" i="56"/>
  <c r="S22" i="56"/>
  <c r="O22" i="56"/>
  <c r="M22" i="56"/>
  <c r="J22" i="56"/>
  <c r="S21" i="56"/>
  <c r="O21" i="56"/>
  <c r="M21" i="56"/>
  <c r="J21" i="56"/>
  <c r="S20" i="56"/>
  <c r="O20" i="56"/>
  <c r="M20" i="56"/>
  <c r="J20" i="56"/>
  <c r="E20" i="56"/>
  <c r="C21" i="56" s="1"/>
  <c r="C20" i="56"/>
  <c r="S19" i="56"/>
  <c r="O19" i="56"/>
  <c r="M19" i="56"/>
  <c r="J19" i="56"/>
  <c r="S18" i="56"/>
  <c r="O18" i="56"/>
  <c r="M18" i="56"/>
  <c r="J18" i="56"/>
  <c r="E18" i="56"/>
  <c r="C18" i="56"/>
  <c r="S17" i="56"/>
  <c r="O17" i="56"/>
  <c r="M17" i="56"/>
  <c r="J17" i="56"/>
  <c r="S16" i="56"/>
  <c r="O16" i="56"/>
  <c r="M16" i="56"/>
  <c r="J16" i="56"/>
  <c r="E16" i="56"/>
  <c r="C16" i="56"/>
  <c r="S15" i="56"/>
  <c r="O15" i="56"/>
  <c r="M15" i="56"/>
  <c r="J15" i="56"/>
  <c r="S14" i="56"/>
  <c r="O14" i="56"/>
  <c r="M14" i="56"/>
  <c r="J14" i="56"/>
  <c r="E14" i="56"/>
  <c r="C14" i="56"/>
  <c r="S13" i="56"/>
  <c r="O13" i="56"/>
  <c r="M13" i="56"/>
  <c r="J13" i="56"/>
  <c r="S12" i="56"/>
  <c r="O12" i="56"/>
  <c r="M12" i="56"/>
  <c r="J12" i="56"/>
  <c r="S11" i="56"/>
  <c r="O11" i="56"/>
  <c r="M11" i="56"/>
  <c r="J11" i="56"/>
  <c r="S10" i="56"/>
  <c r="S83" i="56" s="1"/>
  <c r="O10" i="56"/>
  <c r="O83" i="56" s="1"/>
  <c r="M10" i="56"/>
  <c r="M83" i="56" s="1"/>
  <c r="J10" i="56"/>
  <c r="J83" i="56" l="1"/>
  <c r="K83" i="56" s="1"/>
  <c r="K17" i="56"/>
  <c r="K22" i="56"/>
  <c r="K25" i="56"/>
  <c r="K13" i="56"/>
  <c r="K28" i="56"/>
  <c r="K31" i="56"/>
  <c r="K68" i="56"/>
  <c r="E24" i="56"/>
  <c r="E27" i="56"/>
  <c r="E30" i="56"/>
  <c r="E21" i="56"/>
  <c r="E33" i="56"/>
  <c r="E70" i="56"/>
  <c r="K10" i="56"/>
  <c r="C71" i="56" l="1"/>
  <c r="E71" i="56"/>
  <c r="C34" i="56"/>
  <c r="E34" i="56"/>
  <c r="C35" i="56" l="1"/>
  <c r="E35" i="56"/>
  <c r="C72" i="56"/>
  <c r="E72" i="56"/>
  <c r="C73" i="56" l="1"/>
  <c r="E73" i="56"/>
  <c r="C36" i="56"/>
  <c r="E36" i="56"/>
  <c r="C74" i="56" l="1"/>
  <c r="E74" i="56"/>
  <c r="C37" i="56"/>
  <c r="E37" i="56"/>
  <c r="C75" i="56" l="1"/>
  <c r="E75" i="56"/>
  <c r="C38" i="56"/>
  <c r="E38" i="56"/>
  <c r="C76" i="56" l="1"/>
  <c r="E76" i="56"/>
  <c r="C39" i="56"/>
  <c r="E39" i="56"/>
  <c r="C40" i="56" l="1"/>
  <c r="E40" i="56"/>
  <c r="C77" i="56"/>
  <c r="E77" i="56"/>
  <c r="C78" i="56" l="1"/>
  <c r="E78" i="56"/>
  <c r="C41" i="56"/>
  <c r="E41" i="56"/>
  <c r="C42" i="56" l="1"/>
  <c r="E42" i="56"/>
  <c r="C79" i="56"/>
  <c r="E79" i="56"/>
  <c r="C43" i="56" l="1"/>
  <c r="E43" i="56"/>
  <c r="C80" i="56"/>
  <c r="E80" i="56"/>
  <c r="C44" i="56" l="1"/>
  <c r="E44" i="56"/>
  <c r="C81" i="56"/>
  <c r="E81" i="56"/>
  <c r="C82" i="56" l="1"/>
  <c r="E82" i="56"/>
  <c r="C45" i="56"/>
  <c r="E45" i="56"/>
  <c r="C46" i="56" l="1"/>
  <c r="E46" i="56"/>
  <c r="C47" i="56" l="1"/>
  <c r="E47" i="56"/>
  <c r="C48" i="56" l="1"/>
  <c r="E48" i="56"/>
  <c r="C49" i="56" l="1"/>
  <c r="E49" i="56"/>
  <c r="C50" i="56" l="1"/>
  <c r="E50" i="56"/>
  <c r="C51" i="56" l="1"/>
  <c r="E51" i="56"/>
  <c r="C52" i="56" l="1"/>
  <c r="E52" i="56"/>
  <c r="C53" i="56" l="1"/>
  <c r="E53" i="56"/>
  <c r="C54" i="56" l="1"/>
  <c r="E54" i="56"/>
  <c r="C55" i="56" l="1"/>
  <c r="E55" i="56"/>
  <c r="C56" i="56" l="1"/>
  <c r="E56" i="56"/>
  <c r="C57" i="56" l="1"/>
  <c r="E57" i="56"/>
  <c r="C58" i="56" l="1"/>
  <c r="E58" i="56"/>
  <c r="C59" i="56" l="1"/>
  <c r="E59" i="56"/>
  <c r="C60" i="56" l="1"/>
  <c r="E60" i="56"/>
  <c r="C61" i="56" l="1"/>
  <c r="E61" i="56"/>
  <c r="C62" i="56" l="1"/>
  <c r="E62" i="56"/>
  <c r="C63" i="56" l="1"/>
  <c r="E63" i="56"/>
  <c r="C64" i="56" l="1"/>
  <c r="E64" i="56"/>
  <c r="C65" i="56" l="1"/>
  <c r="E65" i="56"/>
  <c r="C66" i="56" l="1"/>
  <c r="E66" i="56"/>
  <c r="C67" i="56" l="1"/>
  <c r="E67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doc2cxc</author>
  </authors>
  <commentList>
    <comment ref="A17" authorId="0" shapeId="0" xr:uid="{DBCC5824-E679-41F4-8015-0932F90940A1}">
      <text>
        <r>
          <rPr>
            <sz val="9"/>
            <rFont val="宋体"/>
          </rPr>
          <t>doc2cxc:
销售商的名称和地址,邮编</t>
        </r>
      </text>
    </comment>
  </commentList>
</comments>
</file>

<file path=xl/sharedStrings.xml><?xml version="1.0" encoding="utf-8"?>
<sst xmlns="http://schemas.openxmlformats.org/spreadsheetml/2006/main" count="385" uniqueCount="187">
  <si>
    <t>CTNS</t>
  </si>
  <si>
    <t>PACKING  LIST</t>
  </si>
  <si>
    <t>NO.:</t>
  </si>
  <si>
    <t>CS</t>
  </si>
  <si>
    <t>NY USA</t>
  </si>
  <si>
    <t xml:space="preserve">PACKING LIST OF </t>
  </si>
  <si>
    <t>PO #</t>
  </si>
  <si>
    <t>CASE#</t>
  </si>
  <si>
    <t>MADE IN CHINA</t>
  </si>
  <si>
    <t>P.O.NO</t>
  </si>
  <si>
    <t>STYLE NO.</t>
  </si>
  <si>
    <t>CTN #</t>
  </si>
  <si>
    <t>DESCRIPTION</t>
  </si>
  <si>
    <t>SIZE RUN</t>
  </si>
  <si>
    <t>CTN</t>
  </si>
  <si>
    <t>PRS/ CTN</t>
  </si>
  <si>
    <t>PRS</t>
  </si>
  <si>
    <t>SUB TOTAL</t>
  </si>
  <si>
    <t>DIMENS. (CM)</t>
  </si>
  <si>
    <t>MEASUR.</t>
  </si>
  <si>
    <t>NET</t>
  </si>
  <si>
    <t>GROSS</t>
  </si>
  <si>
    <t>L</t>
  </si>
  <si>
    <t>W</t>
  </si>
  <si>
    <t>H</t>
  </si>
  <si>
    <t xml:space="preserve"> (CBM)</t>
  </si>
  <si>
    <t>~</t>
  </si>
  <si>
    <t>SHIPMENT INSTRUCTION</t>
  </si>
  <si>
    <t>DATE:</t>
  </si>
  <si>
    <t>SHIPPER :</t>
  </si>
  <si>
    <t>GROWTH UP LIMITED</t>
  </si>
  <si>
    <t>CONSIGNEE :</t>
  </si>
  <si>
    <t>GLOBE FOOTWEAR CORP.</t>
  </si>
  <si>
    <t xml:space="preserve">190 WESTFIELD AVENUE WEST ROSELLE PARK, NJ 07204 </t>
    <phoneticPr fontId="12" type="noConversion"/>
  </si>
  <si>
    <t>NOTIFY :</t>
  </si>
  <si>
    <t>FROM :</t>
  </si>
  <si>
    <t>TO :</t>
  </si>
  <si>
    <t>MARKS :</t>
  </si>
  <si>
    <t>CTNS:</t>
  </si>
  <si>
    <t>G.W.(kgs) :</t>
  </si>
  <si>
    <t>CBM:</t>
  </si>
  <si>
    <t>Q'NTY(prs) :</t>
  </si>
  <si>
    <t>"FREIGHT COLLECT"</t>
    <phoneticPr fontId="12" type="noConversion"/>
  </si>
  <si>
    <t>Cargo Ready Date:</t>
  </si>
  <si>
    <t>Shipping term:</t>
  </si>
  <si>
    <t>FOB  SZ</t>
  </si>
  <si>
    <t>Shipped By :</t>
  </si>
  <si>
    <t>Forwarder :</t>
  </si>
  <si>
    <t>HECNY Transportation (Shanghai) Ltd - Shenzhen Branch </t>
  </si>
  <si>
    <t>Julian Yi</t>
  </si>
  <si>
    <t>T: 0755- 82212591</t>
  </si>
  <si>
    <t>E: julianyi@hecny.com</t>
  </si>
  <si>
    <t>A:43/F, International Trade Center Building, No. 3002, Renmin South Road,  </t>
  </si>
  <si>
    <r>
      <rPr>
        <b/>
        <sz val="11"/>
        <rFont val="新細明體"/>
        <family val="1"/>
        <charset val="136"/>
      </rPr>
      <t>佳航</t>
    </r>
    <phoneticPr fontId="12" type="noConversion"/>
  </si>
  <si>
    <r>
      <rPr>
        <sz val="11"/>
        <rFont val="細明體"/>
        <family val="3"/>
        <charset val="136"/>
      </rPr>
      <t>地址：广东省江门开平市月山镇深南西路</t>
    </r>
    <r>
      <rPr>
        <sz val="11"/>
        <rFont val="Times New Roman"/>
        <family val="1"/>
      </rPr>
      <t>44-52</t>
    </r>
    <r>
      <rPr>
        <sz val="11"/>
        <rFont val="細明體"/>
        <family val="3"/>
        <charset val="136"/>
      </rPr>
      <t>号</t>
    </r>
    <phoneticPr fontId="21" type="noConversion"/>
  </si>
  <si>
    <t>jiahangdoc@163.com</t>
  </si>
  <si>
    <r>
      <t>TEL</t>
    </r>
    <r>
      <rPr>
        <sz val="10"/>
        <rFont val="Arial"/>
        <family val="2"/>
      </rPr>
      <t>：</t>
    </r>
    <r>
      <rPr>
        <sz val="11"/>
        <rFont val="Times New Roman"/>
        <family val="1"/>
      </rPr>
      <t>0750-2725198    FAX</t>
    </r>
    <r>
      <rPr>
        <sz val="10"/>
        <rFont val="Arial"/>
        <family val="2"/>
      </rPr>
      <t>：</t>
    </r>
    <r>
      <rPr>
        <sz val="11"/>
        <rFont val="Times New Roman"/>
        <family val="1"/>
      </rPr>
      <t>0750-2721829</t>
    </r>
  </si>
  <si>
    <r>
      <rPr>
        <sz val="10"/>
        <rFont val="Arial"/>
        <family val="2"/>
      </rPr>
      <t>生产部黄小姐：</t>
    </r>
    <r>
      <rPr>
        <sz val="11"/>
        <rFont val="Times New Roman"/>
        <family val="1"/>
      </rPr>
      <t>13686935188</t>
    </r>
  </si>
  <si>
    <r>
      <rPr>
        <sz val="10"/>
        <rFont val="Arial"/>
        <family val="2"/>
      </rPr>
      <t>开发部许经理：</t>
    </r>
    <r>
      <rPr>
        <sz val="11"/>
        <rFont val="Times New Roman"/>
        <family val="1"/>
      </rPr>
      <t>13422673588</t>
    </r>
  </si>
  <si>
    <t>V</t>
  </si>
  <si>
    <t>V</t>
    <phoneticPr fontId="12" type="noConversion"/>
  </si>
  <si>
    <t>Importer Security Filing Data</t>
  </si>
  <si>
    <t>Estimate Departure Date: (M/V)</t>
  </si>
  <si>
    <t>Action Reason Code (must check one of below)</t>
  </si>
  <si>
    <t>CT(      )      FR (      )      FT (       )         FX (       )</t>
  </si>
  <si>
    <t xml:space="preserve">see sheet 2 (next page) for action reason code definitions </t>
  </si>
  <si>
    <t>Master B/L Number - SCAC Code:</t>
  </si>
  <si>
    <t>AMS B/L Number - AMS SCAC Code:</t>
  </si>
  <si>
    <t>HECNY B/L Number:</t>
  </si>
  <si>
    <t>Full Container (      )         LCL (      )</t>
  </si>
  <si>
    <t>Transaction Type:</t>
  </si>
  <si>
    <t>01 Standard (           ) commercial shipment</t>
  </si>
  <si>
    <t>must check one of above</t>
  </si>
  <si>
    <t>other than type 01, see sheet 2 (next page) for details</t>
  </si>
  <si>
    <t>1, Importer of Record IRS Number</t>
  </si>
  <si>
    <t>2, Consignee IRS Number</t>
  </si>
  <si>
    <t>3, Seller Name and Address</t>
  </si>
  <si>
    <t>4, Buyer Name and Address</t>
  </si>
  <si>
    <t>GLOBE FOOTWEAR, CORP.</t>
  </si>
  <si>
    <t>4F-1, NO.10, LANE 21, SEC. 4,</t>
  </si>
  <si>
    <t>190 WESTFIELD AVENUE,W. ROSELLE PARK,N. J. 07204</t>
    <phoneticPr fontId="35" type="noConversion"/>
  </si>
  <si>
    <t>HSIN HAI RD., TAIPEI, TAIWAN R.O.C.</t>
  </si>
  <si>
    <t>USA</t>
  </si>
  <si>
    <t>Postal Code:</t>
  </si>
  <si>
    <t>5, Ship to Party Name and Address</t>
  </si>
  <si>
    <t>6, Manufacturer/Supplier Name and Address</t>
  </si>
  <si>
    <t>SUDALON XIE YE</t>
  </si>
  <si>
    <t xml:space="preserve">NO. 44-52 SHENNAN WEST ROAD, YUESHAN TOWN </t>
  </si>
  <si>
    <t>KAIPING, JIANGMEN, GUANGDONG, CHINA</t>
  </si>
  <si>
    <t xml:space="preserve">Postal Code: </t>
  </si>
  <si>
    <t>7, Country of Origin</t>
  </si>
  <si>
    <t>8, commodity HTS # at 6 digit level</t>
  </si>
  <si>
    <t>CHINA</t>
    <phoneticPr fontId="35" type="noConversion"/>
  </si>
  <si>
    <t>IMPORTANT NOTES:</t>
  </si>
  <si>
    <t>1. Please fill in all the fields in the sheet including Postal Code.</t>
  </si>
  <si>
    <t>2. Harmonized Tariff Schedule(HTS) Must be filled in, 
otherwise we will not submit the ISF although commercial invoice is provided.</t>
  </si>
  <si>
    <t>3. See Sheet 2 (next page) for Action Reason Code and Transaction Type information.</t>
  </si>
  <si>
    <t>DSV AIR&amp; SEA, INC.</t>
    <phoneticPr fontId="12" type="noConversion"/>
  </si>
  <si>
    <t>NEW YORK, USA</t>
    <phoneticPr fontId="12" type="noConversion"/>
  </si>
  <si>
    <t xml:space="preserve">100 WALNUT AVENUE, SUITE 405 CLARK, NJ 07066 TEL: 732 850 8000 EXT 2193 </t>
    <phoneticPr fontId="12" type="noConversion"/>
  </si>
  <si>
    <t>FAX:732 850 8040</t>
  </si>
  <si>
    <r>
      <t>需否申請</t>
    </r>
    <r>
      <rPr>
        <sz val="11"/>
        <rFont val="新細明體"/>
        <family val="1"/>
        <charset val="136"/>
      </rPr>
      <t xml:space="preserve"> </t>
    </r>
    <r>
      <rPr>
        <sz val="11"/>
        <rFont val="Times New Roman"/>
        <family val="1"/>
      </rPr>
      <t>CO :</t>
    </r>
  </si>
  <si>
    <t>不需</t>
  </si>
  <si>
    <r>
      <t>文件負責方</t>
    </r>
    <r>
      <rPr>
        <sz val="11"/>
        <rFont val="Times New Roman"/>
        <family val="1"/>
      </rPr>
      <t>:</t>
    </r>
  </si>
  <si>
    <t>巨瑞</t>
    <phoneticPr fontId="12" type="noConversion"/>
  </si>
  <si>
    <r>
      <t>船運單</t>
    </r>
    <r>
      <rPr>
        <sz val="11"/>
        <rFont val="Times New Roman"/>
        <family val="1"/>
      </rPr>
      <t>:</t>
    </r>
  </si>
  <si>
    <r>
      <t>正本</t>
    </r>
    <r>
      <rPr>
        <sz val="11"/>
        <rFont val="新細明體"/>
        <family val="1"/>
        <charset val="136"/>
      </rPr>
      <t xml:space="preserve"> </t>
    </r>
    <r>
      <rPr>
        <sz val="11"/>
        <rFont val="Times New Roman"/>
        <family val="1"/>
      </rPr>
      <t>BL</t>
    </r>
  </si>
  <si>
    <r>
      <t>電放</t>
    </r>
    <r>
      <rPr>
        <sz val="11"/>
        <rFont val="新細明體"/>
        <family val="1"/>
        <charset val="136"/>
      </rPr>
      <t xml:space="preserve"> </t>
    </r>
    <r>
      <rPr>
        <sz val="11"/>
        <rFont val="Times New Roman"/>
        <family val="1"/>
      </rPr>
      <t xml:space="preserve">BL </t>
    </r>
  </si>
  <si>
    <r>
      <t>正本</t>
    </r>
    <r>
      <rPr>
        <sz val="11"/>
        <rFont val="新細明體"/>
        <family val="1"/>
        <charset val="136"/>
      </rPr>
      <t xml:space="preserve"> </t>
    </r>
    <r>
      <rPr>
        <sz val="11"/>
        <rFont val="Times New Roman"/>
        <family val="1"/>
      </rPr>
      <t>FCR</t>
    </r>
  </si>
  <si>
    <r>
      <t>電放</t>
    </r>
    <r>
      <rPr>
        <sz val="11"/>
        <rFont val="新細明體"/>
        <family val="1"/>
        <charset val="136"/>
      </rPr>
      <t xml:space="preserve"> </t>
    </r>
    <r>
      <rPr>
        <sz val="11"/>
        <rFont val="Times New Roman"/>
        <family val="1"/>
      </rPr>
      <t>FCR</t>
    </r>
  </si>
  <si>
    <t>Sea Willbill</t>
    <phoneticPr fontId="12" type="noConversion"/>
  </si>
  <si>
    <t>1513C</t>
  </si>
  <si>
    <t>1514C</t>
  </si>
  <si>
    <t>B</t>
  </si>
  <si>
    <t>C</t>
  </si>
  <si>
    <t>F</t>
  </si>
  <si>
    <t>SHENZHEN, CHINA</t>
    <phoneticPr fontId="12" type="noConversion"/>
  </si>
  <si>
    <r>
      <t xml:space="preserve">FM: </t>
    </r>
    <r>
      <rPr>
        <sz val="11"/>
        <rFont val="新細明體"/>
        <family val="1"/>
        <charset val="136"/>
      </rPr>
      <t>巨瑞/</t>
    </r>
    <r>
      <rPr>
        <sz val="11"/>
        <rFont val="Times New Roman"/>
        <family val="1"/>
      </rPr>
      <t>Michelle</t>
    </r>
    <phoneticPr fontId="12" type="noConversion"/>
  </si>
  <si>
    <t>TO:K&amp;A/Sandra</t>
    <phoneticPr fontId="12" type="noConversion"/>
  </si>
  <si>
    <t>GB-694</t>
    <phoneticPr fontId="12" type="noConversion"/>
  </si>
  <si>
    <t>P/I #GB-694</t>
    <phoneticPr fontId="12" type="noConversion"/>
  </si>
  <si>
    <t>1x40'HQ</t>
    <phoneticPr fontId="19" type="noConversion"/>
  </si>
  <si>
    <t>1489B</t>
  </si>
  <si>
    <t>1491E</t>
  </si>
  <si>
    <t>7048</t>
  </si>
  <si>
    <t>1491F</t>
  </si>
  <si>
    <t>VAL</t>
  </si>
  <si>
    <t>7058</t>
  </si>
  <si>
    <t>WHITE</t>
  </si>
  <si>
    <t>FOREST</t>
  </si>
  <si>
    <t>7059</t>
  </si>
  <si>
    <t>DENIM/GRAY</t>
  </si>
  <si>
    <t>BGE/NAT</t>
  </si>
  <si>
    <t>7046</t>
  </si>
  <si>
    <t>BLACK</t>
  </si>
  <si>
    <t>P</t>
  </si>
  <si>
    <t>Q</t>
  </si>
  <si>
    <t>S</t>
  </si>
  <si>
    <t>1534</t>
  </si>
  <si>
    <t>BLK/GLD</t>
  </si>
  <si>
    <t>WHI/GLD</t>
  </si>
  <si>
    <t>BLUE</t>
  </si>
  <si>
    <t>BROWN</t>
  </si>
  <si>
    <t>BURGUNDY</t>
  </si>
  <si>
    <t>GREEN</t>
  </si>
  <si>
    <r>
      <t>(</t>
    </r>
    <r>
      <rPr>
        <sz val="11"/>
        <rFont val="細明體"/>
        <family val="3"/>
        <charset val="136"/>
      </rPr>
      <t>金百利提供報關資料</t>
    </r>
    <r>
      <rPr>
        <sz val="11"/>
        <rFont val="Times New Roman"/>
        <family val="1"/>
      </rPr>
      <t>)</t>
    </r>
  </si>
  <si>
    <r>
      <rPr>
        <sz val="11"/>
        <rFont val="細明體"/>
        <family val="3"/>
        <charset val="136"/>
      </rPr>
      <t>寫字樓</t>
    </r>
    <r>
      <rPr>
        <sz val="11"/>
        <rFont val="Times New Roman"/>
        <family val="1"/>
      </rPr>
      <t>--</t>
    </r>
    <r>
      <rPr>
        <sz val="11"/>
        <rFont val="細明體"/>
        <family val="3"/>
        <charset val="136"/>
      </rPr>
      <t>中山市东凤镇东富路尾</t>
    </r>
    <r>
      <rPr>
        <sz val="11"/>
        <rFont val="Times New Roman"/>
        <family val="1"/>
      </rPr>
      <t>177</t>
    </r>
    <r>
      <rPr>
        <sz val="11"/>
        <rFont val="細明體"/>
        <family val="3"/>
        <charset val="136"/>
      </rPr>
      <t>号</t>
    </r>
  </si>
  <si>
    <r>
      <rPr>
        <sz val="11"/>
        <rFont val="細明體"/>
        <family val="3"/>
        <charset val="136"/>
      </rPr>
      <t>裝貨倉庫</t>
    </r>
    <r>
      <rPr>
        <sz val="11"/>
        <rFont val="Times New Roman"/>
        <family val="1"/>
      </rPr>
      <t>--</t>
    </r>
    <r>
      <rPr>
        <sz val="11"/>
        <rFont val="細明體"/>
        <family val="3"/>
        <charset val="136"/>
      </rPr>
      <t>中山市东凤镇东富路</t>
    </r>
    <r>
      <rPr>
        <sz val="11"/>
        <rFont val="Times New Roman"/>
        <family val="1"/>
      </rPr>
      <t>(</t>
    </r>
    <r>
      <rPr>
        <sz val="11"/>
        <rFont val="細明體"/>
        <family val="3"/>
        <charset val="136"/>
      </rPr>
      <t>在泰峰集团有限公司旁邊</t>
    </r>
    <r>
      <rPr>
        <sz val="11"/>
        <rFont val="Times New Roman"/>
        <family val="1"/>
      </rPr>
      <t>)</t>
    </r>
    <r>
      <rPr>
        <sz val="11"/>
        <rFont val="細明體"/>
        <family val="3"/>
        <charset val="136"/>
      </rPr>
      <t/>
    </r>
  </si>
  <si>
    <r>
      <rPr>
        <sz val="11"/>
        <rFont val="細明體"/>
        <family val="3"/>
        <charset val="136"/>
      </rPr>
      <t>聯絡人</t>
    </r>
    <r>
      <rPr>
        <sz val="11"/>
        <rFont val="Times New Roman"/>
        <family val="1"/>
      </rPr>
      <t xml:space="preserve">: </t>
    </r>
    <r>
      <rPr>
        <sz val="11"/>
        <rFont val="細明體"/>
        <family val="3"/>
        <charset val="136"/>
      </rPr>
      <t>劉明</t>
    </r>
    <r>
      <rPr>
        <sz val="11"/>
        <rFont val="Times New Roman"/>
        <family val="1"/>
      </rPr>
      <t>, rongxingshoes@163.com</t>
    </r>
  </si>
  <si>
    <r>
      <rPr>
        <sz val="11"/>
        <rFont val="細明體"/>
        <family val="3"/>
        <charset val="136"/>
      </rPr>
      <t>电话：</t>
    </r>
    <r>
      <rPr>
        <sz val="11"/>
        <rFont val="Times New Roman"/>
        <family val="1"/>
      </rPr>
      <t xml:space="preserve">0760--22772481 </t>
    </r>
  </si>
  <si>
    <t>1398E</t>
  </si>
  <si>
    <t>TJ-6084</t>
  </si>
  <si>
    <t>NATURAL</t>
  </si>
  <si>
    <r>
      <t>WEIGHT</t>
    </r>
    <r>
      <rPr>
        <b/>
        <sz val="10"/>
        <rFont val="宋体"/>
        <charset val="1"/>
      </rPr>
      <t>（</t>
    </r>
    <r>
      <rPr>
        <b/>
        <sz val="10"/>
        <rFont val="Times New Roman"/>
        <family val="1"/>
      </rPr>
      <t>KGS</t>
    </r>
    <r>
      <rPr>
        <b/>
        <sz val="10"/>
        <rFont val="宋体"/>
        <charset val="1"/>
      </rPr>
      <t>）</t>
    </r>
  </si>
  <si>
    <t>FROM :</t>
    <phoneticPr fontId="12" type="noConversion"/>
  </si>
  <si>
    <t>TO :</t>
    <phoneticPr fontId="12" type="noConversion"/>
  </si>
  <si>
    <t xml:space="preserve">DATE :  </t>
    <phoneticPr fontId="12" type="noConversion"/>
  </si>
  <si>
    <t xml:space="preserve">VESSEL : </t>
    <phoneticPr fontId="12" type="noConversion"/>
  </si>
  <si>
    <t xml:space="preserve">MAIN MARK : </t>
    <phoneticPr fontId="12" type="noConversion"/>
  </si>
  <si>
    <t>9, Container Stuffing Location</t>
    <phoneticPr fontId="12" type="noConversion"/>
  </si>
  <si>
    <t>10, Consolidator Name and Address</t>
    <phoneticPr fontId="12" type="noConversion"/>
  </si>
  <si>
    <t>SENYUAN SHOES FACTORY</t>
  </si>
  <si>
    <t>No.178,Dong Feng Road,Dong Feng town,Zhong Shan </t>
  </si>
  <si>
    <t xml:space="preserve">NINGBO or YANTIAN, CHINA  </t>
    <phoneticPr fontId="12" type="noConversion"/>
  </si>
  <si>
    <t>NEW YORK , NY</t>
    <phoneticPr fontId="12" type="noConversion"/>
  </si>
  <si>
    <r>
      <rPr>
        <sz val="11"/>
        <rFont val="細明體"/>
        <family val="3"/>
        <charset val="136"/>
      </rPr>
      <t>凱安</t>
    </r>
  </si>
  <si>
    <r>
      <rPr>
        <sz val="11"/>
        <rFont val="細明體"/>
        <family val="3"/>
        <charset val="136"/>
      </rPr>
      <t>聖達隆</t>
    </r>
  </si>
  <si>
    <r>
      <rPr>
        <sz val="11"/>
        <rFont val="細明體"/>
        <family val="3"/>
        <charset val="136"/>
      </rPr>
      <t>併櫃工廠</t>
    </r>
    <phoneticPr fontId="12" type="noConversion"/>
  </si>
  <si>
    <r>
      <t xml:space="preserve">FWD </t>
    </r>
    <r>
      <rPr>
        <sz val="11"/>
        <rFont val="細明體"/>
        <family val="3"/>
        <charset val="136"/>
      </rPr>
      <t>費用由哪方付款</t>
    </r>
    <phoneticPr fontId="12" type="noConversion"/>
  </si>
  <si>
    <r>
      <rPr>
        <sz val="11"/>
        <rFont val="細明體"/>
        <family val="3"/>
        <charset val="136"/>
      </rPr>
      <t>負責安排運輸</t>
    </r>
  </si>
  <si>
    <r>
      <rPr>
        <sz val="11"/>
        <rFont val="細明體"/>
        <family val="3"/>
        <charset val="136"/>
      </rPr>
      <t>負責報關</t>
    </r>
  </si>
  <si>
    <t>MEN'S FOOTWEAR</t>
    <phoneticPr fontId="12" type="noConversion"/>
  </si>
  <si>
    <t>PI#</t>
    <phoneticPr fontId="12" type="noConversion"/>
  </si>
  <si>
    <t>森源</t>
    <phoneticPr fontId="12" type="noConversion"/>
  </si>
  <si>
    <t>聖達龍</t>
    <phoneticPr fontId="21" type="noConversion"/>
  </si>
  <si>
    <t>"WE HEREBY CERTIFY THAT THIS SHIPMENT</t>
    <phoneticPr fontId="12" type="noConversion"/>
  </si>
  <si>
    <t>CONTAINS NO SOLID WOOD PACKING MATERIALS"</t>
    <phoneticPr fontId="12" type="noConversion"/>
  </si>
  <si>
    <t>GROWTH UP LIMITED</t>
    <phoneticPr fontId="12" type="noConversion"/>
  </si>
  <si>
    <t>1489B</t>
    <phoneticPr fontId="12" type="noConversion"/>
  </si>
  <si>
    <t>1491E</t>
    <phoneticPr fontId="12" type="noConversion"/>
  </si>
  <si>
    <t xml:space="preserve"> 1491F</t>
    <phoneticPr fontId="12" type="noConversion"/>
  </si>
  <si>
    <t>1513C</t>
    <phoneticPr fontId="12" type="noConversion"/>
  </si>
  <si>
    <t>加總</t>
    <phoneticPr fontId="12" type="noConversion"/>
  </si>
  <si>
    <t>Factory :</t>
    <phoneticPr fontId="12" type="noConversion"/>
  </si>
  <si>
    <t>PO #:</t>
    <phoneticPr fontId="12" type="noConversion"/>
  </si>
  <si>
    <t>1398E</t>
    <phoneticPr fontId="12" type="noConversion"/>
  </si>
  <si>
    <t xml:space="preserve"> 1514C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</si>
</sst>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76" formatCode="[$-409]d/mmm;@"/>
    <numFmt numFmtId="177" formatCode="[$-409]d\-mmm;@"/>
    <numFmt numFmtId="178" formatCode="[$-409]d\-mmm\-yy;@"/>
    <numFmt numFmtId="179" formatCode="0.0000_ "/>
    <numFmt numFmtId="180" formatCode="#,##0_ "/>
    <numFmt numFmtId="181" formatCode="0.00_);[Red]\(0.00\)"/>
    <numFmt numFmtId="182" formatCode="0.0000_);[Red]\(0.0000\)"/>
    <numFmt numFmtId="183" formatCode="mm/dd/yy;@"/>
    <numFmt numFmtId="184" formatCode="_-&quot;$&quot;* #,##0.00_-;&quot;-$&quot;* #,##0.00_-;_-&quot;$&quot;* \-??_-;_-@_-"/>
    <numFmt numFmtId="185" formatCode="0.00_ "/>
  </numFmts>
  <fonts count="53">
    <font>
      <sz val="12"/>
      <name val="新細明體"/>
      <charset val="136"/>
    </font>
    <font>
      <sz val="12"/>
      <name val="Times New Roman"/>
      <family val="1"/>
    </font>
    <font>
      <sz val="11"/>
      <color theme="1"/>
      <name val="新細明體"/>
      <family val="1"/>
      <charset val="136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宋体"/>
      <family val="3"/>
      <charset val="136"/>
    </font>
    <font>
      <sz val="12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sz val="11"/>
      <color indexed="8"/>
      <name val="Calibri"/>
      <family val="2"/>
    </font>
    <font>
      <u/>
      <sz val="12"/>
      <color rgb="FF0563C1"/>
      <name val="新細明體"/>
      <family val="1"/>
      <charset val="136"/>
    </font>
    <font>
      <u/>
      <sz val="12"/>
      <color theme="10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u/>
      <sz val="16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sz val="11"/>
      <name val="新細明體"/>
      <family val="1"/>
      <charset val="136"/>
    </font>
    <font>
      <b/>
      <sz val="11"/>
      <name val="Times New Roman"/>
      <family val="1"/>
    </font>
    <font>
      <sz val="10"/>
      <name val="Times New Roman"/>
      <family val="1"/>
    </font>
    <font>
      <sz val="9"/>
      <name val="新細明體"/>
      <family val="2"/>
      <charset val="136"/>
      <scheme val="minor"/>
    </font>
    <font>
      <b/>
      <sz val="11"/>
      <name val="細明體"/>
      <family val="3"/>
      <charset val="136"/>
    </font>
    <font>
      <sz val="9"/>
      <name val="Times New Roman"/>
      <family val="2"/>
      <charset val="136"/>
    </font>
    <font>
      <b/>
      <sz val="11"/>
      <name val="新細明體"/>
      <family val="1"/>
      <charset val="136"/>
    </font>
    <font>
      <sz val="11"/>
      <name val="細明體"/>
      <family val="3"/>
      <charset val="136"/>
    </font>
    <font>
      <u/>
      <sz val="12"/>
      <color theme="10"/>
      <name val="新細明體"/>
      <family val="2"/>
      <charset val="136"/>
      <scheme val="minor"/>
    </font>
    <font>
      <u/>
      <sz val="11"/>
      <name val="Times New Roman"/>
      <family val="1"/>
    </font>
    <font>
      <b/>
      <u/>
      <sz val="14"/>
      <color indexed="12"/>
      <name val="Arial"/>
      <family val="2"/>
    </font>
    <font>
      <sz val="10"/>
      <color indexed="12"/>
      <name val="Arial"/>
      <family val="2"/>
    </font>
    <font>
      <b/>
      <sz val="11"/>
      <color indexed="12"/>
      <name val="Arial"/>
      <family val="2"/>
    </font>
    <font>
      <b/>
      <sz val="11"/>
      <name val="Arial"/>
      <family val="2"/>
    </font>
    <font>
      <sz val="8"/>
      <color indexed="60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60"/>
      <name val="Arial"/>
      <family val="2"/>
    </font>
    <font>
      <sz val="11"/>
      <name val="宋体"/>
    </font>
    <font>
      <sz val="9"/>
      <name val="細明體"/>
      <family val="3"/>
      <charset val="136"/>
    </font>
    <font>
      <b/>
      <sz val="10"/>
      <color indexed="10"/>
      <name val="Arial"/>
      <family val="2"/>
    </font>
    <font>
      <sz val="9"/>
      <name val="宋体"/>
    </font>
    <font>
      <sz val="10"/>
      <color rgb="FFFF0000"/>
      <name val="Arial"/>
      <family val="2"/>
    </font>
    <font>
      <sz val="11"/>
      <color rgb="FFC00000"/>
      <name val="Times New Roman"/>
      <family val="1"/>
    </font>
    <font>
      <b/>
      <sz val="11"/>
      <color rgb="FFFF0000"/>
      <name val="Times New Roman"/>
      <family val="1"/>
    </font>
    <font>
      <sz val="12"/>
      <name val="宋体"/>
    </font>
    <font>
      <sz val="12"/>
      <name val="宋体"/>
    </font>
    <font>
      <b/>
      <sz val="12"/>
      <name val="Times New Roman"/>
      <family val="1"/>
    </font>
    <font>
      <sz val="12"/>
      <name val="宋体"/>
      <charset val="1"/>
    </font>
    <font>
      <sz val="11"/>
      <color rgb="FF800000"/>
      <name val="Calibri"/>
      <family val="2"/>
    </font>
    <font>
      <u/>
      <sz val="12"/>
      <color theme="10"/>
      <name val="宋体"/>
    </font>
    <font>
      <i/>
      <sz val="11"/>
      <color rgb="FF7F7F7F"/>
      <name val="Times New Roman"/>
      <family val="1"/>
    </font>
    <font>
      <sz val="12"/>
      <name val="新細明體"/>
      <family val="1"/>
    </font>
    <font>
      <sz val="11"/>
      <color theme="1"/>
      <name val="新細明體"/>
      <family val="3"/>
      <charset val="134"/>
      <scheme val="minor"/>
    </font>
    <font>
      <b/>
      <sz val="10"/>
      <name val="Times New Roman"/>
      <family val="1"/>
    </font>
    <font>
      <b/>
      <sz val="10"/>
      <name val="宋体"/>
      <charset val="1"/>
    </font>
    <font>
      <b/>
      <sz val="11"/>
      <name val="Microsoft JhengHe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98">
    <xf numFmtId="0" fontId="0" fillId="0" borderId="0">
      <alignment vertical="center"/>
    </xf>
    <xf numFmtId="0" fontId="3" fillId="0" borderId="0"/>
    <xf numFmtId="0" fontId="4" fillId="0" borderId="0">
      <alignment vertical="top"/>
    </xf>
    <xf numFmtId="0" fontId="4" fillId="0" borderId="0">
      <alignment vertical="top"/>
    </xf>
    <xf numFmtId="0" fontId="11" fillId="0" borderId="0">
      <alignment vertical="center"/>
    </xf>
    <xf numFmtId="0" fontId="5" fillId="0" borderId="0">
      <alignment vertical="center"/>
    </xf>
    <xf numFmtId="176" fontId="11" fillId="0" borderId="0">
      <alignment vertical="center"/>
    </xf>
    <xf numFmtId="176" fontId="11" fillId="0" borderId="0">
      <alignment vertical="top"/>
    </xf>
    <xf numFmtId="177" fontId="5" fillId="0" borderId="0">
      <alignment vertical="center"/>
    </xf>
    <xf numFmtId="178" fontId="6" fillId="0" borderId="0">
      <alignment vertical="top"/>
    </xf>
    <xf numFmtId="177" fontId="5" fillId="0" borderId="0">
      <alignment vertical="center"/>
    </xf>
    <xf numFmtId="0" fontId="5" fillId="0" borderId="0"/>
    <xf numFmtId="178" fontId="7" fillId="0" borderId="0">
      <alignment vertical="center"/>
    </xf>
    <xf numFmtId="177" fontId="11" fillId="0" borderId="0">
      <alignment vertical="top"/>
    </xf>
    <xf numFmtId="0" fontId="11" fillId="0" borderId="0">
      <alignment vertical="top"/>
    </xf>
    <xf numFmtId="177" fontId="11" fillId="0" borderId="0">
      <alignment vertical="top"/>
    </xf>
    <xf numFmtId="0" fontId="11" fillId="0" borderId="0">
      <alignment vertical="center"/>
    </xf>
    <xf numFmtId="177" fontId="11" fillId="0" borderId="0">
      <alignment vertical="center"/>
    </xf>
    <xf numFmtId="0" fontId="5" fillId="0" borderId="0">
      <alignment vertical="top"/>
    </xf>
    <xf numFmtId="0" fontId="11" fillId="0" borderId="0">
      <alignment vertical="center"/>
    </xf>
    <xf numFmtId="178" fontId="2" fillId="0" borderId="0">
      <alignment vertical="center"/>
    </xf>
    <xf numFmtId="177" fontId="11" fillId="0" borderId="0">
      <alignment vertical="center"/>
    </xf>
    <xf numFmtId="0" fontId="3" fillId="0" borderId="0"/>
    <xf numFmtId="0" fontId="11" fillId="0" borderId="0">
      <alignment vertical="top"/>
    </xf>
    <xf numFmtId="0" fontId="5" fillId="0" borderId="0">
      <alignment vertical="center"/>
    </xf>
    <xf numFmtId="0" fontId="11" fillId="0" borderId="0">
      <alignment vertical="top"/>
    </xf>
    <xf numFmtId="0" fontId="5" fillId="0" borderId="0">
      <alignment vertical="center"/>
    </xf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9" fillId="0" borderId="0" applyBorder="0" applyProtection="0">
      <alignment vertical="top"/>
    </xf>
    <xf numFmtId="177" fontId="10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177" fontId="11" fillId="0" borderId="0">
      <alignment vertical="center"/>
    </xf>
    <xf numFmtId="0" fontId="4" fillId="0" borderId="0">
      <alignment vertical="top"/>
    </xf>
    <xf numFmtId="177" fontId="6" fillId="0" borderId="0">
      <alignment vertical="center"/>
    </xf>
    <xf numFmtId="177" fontId="6" fillId="0" borderId="0">
      <alignment vertical="top"/>
    </xf>
    <xf numFmtId="177" fontId="6" fillId="0" borderId="0">
      <alignment vertical="top"/>
    </xf>
    <xf numFmtId="0" fontId="6" fillId="0" borderId="0">
      <alignment vertical="center"/>
    </xf>
    <xf numFmtId="176" fontId="6" fillId="0" borderId="0">
      <alignment vertical="top"/>
    </xf>
    <xf numFmtId="0" fontId="6" fillId="0" borderId="0">
      <alignment vertical="top"/>
    </xf>
    <xf numFmtId="0" fontId="6" fillId="0" borderId="0">
      <alignment vertical="center"/>
    </xf>
    <xf numFmtId="177" fontId="6" fillId="0" borderId="0">
      <alignment vertical="center"/>
    </xf>
    <xf numFmtId="177" fontId="6" fillId="0" borderId="0">
      <alignment vertical="center"/>
    </xf>
    <xf numFmtId="177" fontId="24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41" fillId="0" borderId="0">
      <alignment vertical="center"/>
    </xf>
    <xf numFmtId="177" fontId="6" fillId="0" borderId="0">
      <alignment vertical="top"/>
    </xf>
    <xf numFmtId="0" fontId="42" fillId="0" borderId="0">
      <alignment vertical="center"/>
    </xf>
    <xf numFmtId="178" fontId="4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/>
    <xf numFmtId="0" fontId="41" fillId="0" borderId="0">
      <alignment vertical="center"/>
    </xf>
    <xf numFmtId="177" fontId="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77" fontId="41" fillId="0" borderId="0">
      <alignment vertical="center"/>
    </xf>
    <xf numFmtId="0" fontId="41" fillId="0" borderId="0">
      <alignment vertical="center"/>
    </xf>
    <xf numFmtId="178" fontId="6" fillId="0" borderId="0">
      <alignment vertical="top"/>
    </xf>
    <xf numFmtId="0" fontId="6" fillId="0" borderId="0">
      <alignment vertical="top"/>
    </xf>
    <xf numFmtId="0" fontId="9" fillId="0" borderId="0" applyBorder="0" applyProtection="0">
      <alignment vertical="top"/>
    </xf>
    <xf numFmtId="178" fontId="6" fillId="0" borderId="0">
      <alignment vertical="top"/>
    </xf>
    <xf numFmtId="177" fontId="44" fillId="0" borderId="0">
      <alignment vertical="center"/>
    </xf>
    <xf numFmtId="0" fontId="6" fillId="0" borderId="0">
      <alignment vertical="top"/>
    </xf>
    <xf numFmtId="177" fontId="6" fillId="0" borderId="0">
      <alignment vertical="top"/>
    </xf>
    <xf numFmtId="177" fontId="6" fillId="0" borderId="0">
      <alignment vertical="top"/>
    </xf>
    <xf numFmtId="0" fontId="6" fillId="0" borderId="0">
      <alignment vertical="top"/>
    </xf>
    <xf numFmtId="177" fontId="6" fillId="0" borderId="0">
      <alignment vertical="center"/>
    </xf>
    <xf numFmtId="177" fontId="6" fillId="0" borderId="0">
      <alignment vertical="center"/>
    </xf>
    <xf numFmtId="177" fontId="6" fillId="0" borderId="0">
      <alignment vertical="center"/>
    </xf>
    <xf numFmtId="0" fontId="3" fillId="0" borderId="0"/>
    <xf numFmtId="0" fontId="8" fillId="0" borderId="0"/>
    <xf numFmtId="0" fontId="45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9" fillId="0" borderId="0" applyBorder="0" applyProtection="0">
      <alignment vertical="top"/>
    </xf>
    <xf numFmtId="177" fontId="10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>
      <alignment vertical="top"/>
    </xf>
    <xf numFmtId="0" fontId="6" fillId="0" borderId="0">
      <alignment vertical="top"/>
    </xf>
    <xf numFmtId="0" fontId="6" fillId="0" borderId="0">
      <alignment vertical="center"/>
    </xf>
    <xf numFmtId="177" fontId="41" fillId="0" borderId="0">
      <alignment vertical="center"/>
    </xf>
    <xf numFmtId="177" fontId="41" fillId="0" borderId="0">
      <alignment vertical="center"/>
    </xf>
    <xf numFmtId="0" fontId="48" fillId="0" borderId="0">
      <alignment vertical="center"/>
    </xf>
    <xf numFmtId="0" fontId="41" fillId="0" borderId="0"/>
    <xf numFmtId="178" fontId="49" fillId="0" borderId="0">
      <alignment vertical="center"/>
    </xf>
    <xf numFmtId="178" fontId="48" fillId="0" borderId="0">
      <alignment vertical="top"/>
    </xf>
    <xf numFmtId="178" fontId="2" fillId="0" borderId="0">
      <alignment vertical="center"/>
    </xf>
  </cellStyleXfs>
  <cellXfs count="190">
    <xf numFmtId="0" fontId="0" fillId="0" borderId="0" xfId="0">
      <alignment vertical="center"/>
    </xf>
    <xf numFmtId="0" fontId="14" fillId="0" borderId="0" xfId="37" applyNumberFormat="1" applyFont="1" applyAlignment="1">
      <alignment horizontal="right" vertical="center"/>
    </xf>
    <xf numFmtId="0" fontId="15" fillId="0" borderId="0" xfId="37" applyNumberFormat="1" applyFont="1" applyAlignment="1">
      <alignment horizontal="left" vertical="center"/>
    </xf>
    <xf numFmtId="0" fontId="13" fillId="0" borderId="0" xfId="36" applyNumberFormat="1" applyFont="1">
      <alignment vertical="center"/>
    </xf>
    <xf numFmtId="0" fontId="14" fillId="0" borderId="0" xfId="36" applyNumberFormat="1" applyFont="1" applyAlignment="1">
      <alignment horizontal="center" vertical="center"/>
    </xf>
    <xf numFmtId="0" fontId="14" fillId="0" borderId="0" xfId="36" applyNumberFormat="1" applyFont="1">
      <alignment vertical="center"/>
    </xf>
    <xf numFmtId="0" fontId="14" fillId="0" borderId="0" xfId="37" applyNumberFormat="1" applyFont="1" applyAlignment="1">
      <alignment horizontal="center" vertical="center"/>
    </xf>
    <xf numFmtId="0" fontId="17" fillId="0" borderId="0" xfId="37" applyNumberFormat="1" applyFont="1" applyAlignment="1">
      <alignment horizontal="center" vertical="center"/>
    </xf>
    <xf numFmtId="0" fontId="14" fillId="0" borderId="0" xfId="37" applyNumberFormat="1" applyFont="1" applyAlignment="1">
      <alignment vertical="center"/>
    </xf>
    <xf numFmtId="0" fontId="14" fillId="0" borderId="0" xfId="38" applyNumberFormat="1" applyFont="1" applyAlignment="1">
      <alignment vertical="center"/>
    </xf>
    <xf numFmtId="0" fontId="17" fillId="0" borderId="0" xfId="37" applyNumberFormat="1" applyFont="1" applyAlignment="1">
      <alignment horizontal="right" vertical="center"/>
    </xf>
    <xf numFmtId="0" fontId="18" fillId="0" borderId="0" xfId="37" applyNumberFormat="1" applyFont="1" applyAlignment="1">
      <alignment vertical="center"/>
    </xf>
    <xf numFmtId="0" fontId="17" fillId="0" borderId="0" xfId="37" applyNumberFormat="1" applyFont="1" applyAlignment="1">
      <alignment vertical="center"/>
    </xf>
    <xf numFmtId="0" fontId="14" fillId="0" borderId="0" xfId="37" applyNumberFormat="1" applyFont="1" applyAlignment="1">
      <alignment vertical="center" wrapText="1"/>
    </xf>
    <xf numFmtId="2" fontId="14" fillId="0" borderId="0" xfId="37" applyNumberFormat="1" applyFont="1" applyAlignment="1">
      <alignment vertical="center"/>
    </xf>
    <xf numFmtId="0" fontId="14" fillId="0" borderId="0" xfId="28" applyFont="1" applyAlignment="1">
      <alignment horizontal="center" vertical="center"/>
    </xf>
    <xf numFmtId="2" fontId="14" fillId="0" borderId="0" xfId="28" applyNumberFormat="1" applyFont="1" applyAlignment="1">
      <alignment horizontal="center" vertical="center"/>
    </xf>
    <xf numFmtId="1" fontId="14" fillId="0" borderId="0" xfId="37" applyNumberFormat="1" applyFont="1" applyAlignment="1">
      <alignment vertical="center"/>
    </xf>
    <xf numFmtId="0" fontId="18" fillId="0" borderId="0" xfId="29" applyFont="1" applyAlignment="1">
      <alignment horizontal="center" vertical="center"/>
    </xf>
    <xf numFmtId="0" fontId="14" fillId="0" borderId="0" xfId="37" applyNumberFormat="1" applyFont="1" applyAlignment="1">
      <alignment horizontal="left" vertical="center"/>
    </xf>
    <xf numFmtId="0" fontId="14" fillId="0" borderId="0" xfId="38" applyNumberFormat="1" applyFont="1">
      <alignment vertical="top"/>
    </xf>
    <xf numFmtId="0" fontId="17" fillId="0" borderId="0" xfId="37" applyNumberFormat="1" applyFont="1" applyAlignment="1">
      <alignment horizontal="left" vertical="center"/>
    </xf>
    <xf numFmtId="0" fontId="17" fillId="0" borderId="0" xfId="39" applyFont="1">
      <alignment vertical="center"/>
    </xf>
    <xf numFmtId="176" fontId="14" fillId="0" borderId="0" xfId="40" applyFont="1" applyAlignment="1">
      <alignment vertical="center"/>
    </xf>
    <xf numFmtId="0" fontId="14" fillId="0" borderId="0" xfId="41" applyFont="1" applyAlignment="1">
      <alignment vertical="center"/>
    </xf>
    <xf numFmtId="0" fontId="14" fillId="0" borderId="0" xfId="42" applyFont="1">
      <alignment vertical="center"/>
    </xf>
    <xf numFmtId="0" fontId="1" fillId="0" borderId="0" xfId="8" applyNumberFormat="1" applyFont="1">
      <alignment vertical="center"/>
    </xf>
    <xf numFmtId="0" fontId="17" fillId="0" borderId="0" xfId="43" applyNumberFormat="1" applyFont="1">
      <alignment vertical="center"/>
    </xf>
    <xf numFmtId="0" fontId="1" fillId="0" borderId="0" xfId="44" applyNumberFormat="1" applyFont="1" applyAlignment="1">
      <alignment vertical="top"/>
    </xf>
    <xf numFmtId="0" fontId="14" fillId="0" borderId="0" xfId="10" applyNumberFormat="1" applyFont="1">
      <alignment vertical="center"/>
    </xf>
    <xf numFmtId="0" fontId="18" fillId="0" borderId="0" xfId="43" applyNumberFormat="1" applyFont="1">
      <alignment vertical="center"/>
    </xf>
    <xf numFmtId="0" fontId="14" fillId="0" borderId="0" xfId="43" applyNumberFormat="1" applyFont="1">
      <alignment vertical="center"/>
    </xf>
    <xf numFmtId="0" fontId="1" fillId="0" borderId="0" xfId="42" applyFont="1" applyAlignment="1">
      <alignment vertical="top"/>
    </xf>
    <xf numFmtId="0" fontId="25" fillId="0" borderId="0" xfId="45" applyNumberFormat="1" applyFont="1" applyAlignment="1" applyProtection="1">
      <alignment vertical="center"/>
    </xf>
    <xf numFmtId="0" fontId="14" fillId="0" borderId="0" xfId="44" applyNumberFormat="1" applyFont="1">
      <alignment vertical="center"/>
    </xf>
    <xf numFmtId="0" fontId="1" fillId="0" borderId="0" xfId="37" applyNumberFormat="1" applyFont="1">
      <alignment vertical="top"/>
    </xf>
    <xf numFmtId="0" fontId="14" fillId="0" borderId="0" xfId="44" applyNumberFormat="1" applyFont="1" applyAlignment="1">
      <alignment horizontal="center" vertical="center"/>
    </xf>
    <xf numFmtId="0" fontId="3" fillId="0" borderId="0" xfId="22"/>
    <xf numFmtId="0" fontId="3" fillId="0" borderId="5" xfId="22" applyBorder="1"/>
    <xf numFmtId="0" fontId="28" fillId="0" borderId="8" xfId="22" applyFont="1" applyBorder="1"/>
    <xf numFmtId="178" fontId="3" fillId="0" borderId="9" xfId="22" applyNumberFormat="1" applyBorder="1"/>
    <xf numFmtId="0" fontId="29" fillId="0" borderId="9" xfId="22" applyFont="1" applyBorder="1"/>
    <xf numFmtId="0" fontId="3" fillId="0" borderId="10" xfId="22" applyBorder="1"/>
    <xf numFmtId="0" fontId="30" fillId="0" borderId="10" xfId="22" applyFont="1" applyBorder="1"/>
    <xf numFmtId="0" fontId="28" fillId="0" borderId="11" xfId="22" applyFont="1" applyBorder="1"/>
    <xf numFmtId="0" fontId="3" fillId="0" borderId="9" xfId="22" applyBorder="1"/>
    <xf numFmtId="0" fontId="28" fillId="0" borderId="13" xfId="22" applyFont="1" applyBorder="1"/>
    <xf numFmtId="0" fontId="3" fillId="0" borderId="14" xfId="22" applyBorder="1"/>
    <xf numFmtId="0" fontId="29" fillId="0" borderId="10" xfId="22" applyFont="1" applyBorder="1"/>
    <xf numFmtId="0" fontId="31" fillId="0" borderId="8" xfId="22" applyFont="1" applyBorder="1" applyAlignment="1">
      <alignment horizontal="left"/>
    </xf>
    <xf numFmtId="0" fontId="32" fillId="0" borderId="8" xfId="22" applyFont="1" applyBorder="1" applyAlignment="1">
      <alignment horizontal="left"/>
    </xf>
    <xf numFmtId="0" fontId="29" fillId="0" borderId="15" xfId="22" applyFont="1" applyBorder="1"/>
    <xf numFmtId="0" fontId="33" fillId="0" borderId="12" xfId="22" applyFont="1" applyBorder="1"/>
    <xf numFmtId="0" fontId="28" fillId="0" borderId="14" xfId="22" applyFont="1" applyBorder="1"/>
    <xf numFmtId="0" fontId="3" fillId="0" borderId="16" xfId="22" applyBorder="1"/>
    <xf numFmtId="0" fontId="3" fillId="0" borderId="17" xfId="22" applyBorder="1"/>
    <xf numFmtId="0" fontId="3" fillId="0" borderId="18" xfId="22" applyBorder="1"/>
    <xf numFmtId="0" fontId="29" fillId="0" borderId="8" xfId="22" applyFont="1" applyBorder="1"/>
    <xf numFmtId="0" fontId="3" fillId="0" borderId="9" xfId="22" applyBorder="1" applyAlignment="1">
      <alignment vertical="center" wrapText="1"/>
    </xf>
    <xf numFmtId="0" fontId="34" fillId="0" borderId="16" xfId="8" applyNumberFormat="1" applyFont="1" applyBorder="1" applyAlignment="1">
      <alignment vertical="center" readingOrder="1"/>
    </xf>
    <xf numFmtId="0" fontId="34" fillId="0" borderId="0" xfId="8" applyNumberFormat="1" applyFont="1" applyAlignment="1">
      <alignment vertical="center" wrapText="1" readingOrder="1"/>
    </xf>
    <xf numFmtId="0" fontId="32" fillId="0" borderId="10" xfId="22" applyFont="1" applyBorder="1"/>
    <xf numFmtId="0" fontId="3" fillId="0" borderId="9" xfId="22" applyBorder="1" applyAlignment="1">
      <alignment horizontal="left"/>
    </xf>
    <xf numFmtId="0" fontId="32" fillId="0" borderId="0" xfId="22" applyFont="1"/>
    <xf numFmtId="0" fontId="36" fillId="0" borderId="0" xfId="22" applyFont="1"/>
    <xf numFmtId="0" fontId="36" fillId="0" borderId="0" xfId="22" applyFont="1" applyAlignment="1">
      <alignment wrapText="1"/>
    </xf>
    <xf numFmtId="0" fontId="36" fillId="0" borderId="0" xfId="22" applyFont="1" applyAlignment="1">
      <alignment horizontal="left"/>
    </xf>
    <xf numFmtId="0" fontId="38" fillId="0" borderId="9" xfId="22" applyFont="1" applyBorder="1"/>
    <xf numFmtId="0" fontId="38" fillId="0" borderId="12" xfId="22" applyFont="1" applyBorder="1"/>
    <xf numFmtId="0" fontId="23" fillId="0" borderId="0" xfId="44" applyNumberFormat="1" applyFont="1">
      <alignment vertical="center"/>
    </xf>
    <xf numFmtId="0" fontId="16" fillId="0" borderId="0" xfId="37" applyNumberFormat="1" applyFont="1" applyAlignment="1">
      <alignment vertical="center"/>
    </xf>
    <xf numFmtId="0" fontId="23" fillId="0" borderId="0" xfId="44" applyNumberFormat="1" applyFont="1" applyAlignment="1">
      <alignment horizontal="center" vertical="center"/>
    </xf>
    <xf numFmtId="0" fontId="6" fillId="0" borderId="0" xfId="44" applyNumberFormat="1">
      <alignment vertical="center"/>
    </xf>
    <xf numFmtId="0" fontId="39" fillId="0" borderId="0" xfId="44" applyNumberFormat="1" applyFont="1">
      <alignment vertical="center"/>
    </xf>
    <xf numFmtId="183" fontId="40" fillId="0" borderId="0" xfId="37" applyNumberFormat="1" applyFont="1" applyAlignment="1">
      <alignment horizontal="left" vertical="center"/>
    </xf>
    <xf numFmtId="0" fontId="13" fillId="0" borderId="0" xfId="36" applyNumberFormat="1" applyFont="1" applyAlignment="1">
      <alignment horizontal="center" vertical="center"/>
    </xf>
    <xf numFmtId="183" fontId="14" fillId="0" borderId="0" xfId="37" applyNumberFormat="1" applyFont="1" applyAlignment="1">
      <alignment horizontal="left" vertical="center"/>
    </xf>
    <xf numFmtId="178" fontId="14" fillId="0" borderId="0" xfId="95" applyFont="1">
      <alignment vertical="center"/>
    </xf>
    <xf numFmtId="178" fontId="1" fillId="0" borderId="0" xfId="95" applyFont="1">
      <alignment vertical="center"/>
    </xf>
    <xf numFmtId="178" fontId="14" fillId="0" borderId="0" xfId="96" applyFont="1" applyAlignment="1">
      <alignment vertical="center"/>
    </xf>
    <xf numFmtId="178" fontId="14" fillId="0" borderId="0" xfId="97" applyFont="1">
      <alignment vertical="center"/>
    </xf>
    <xf numFmtId="0" fontId="14" fillId="0" borderId="0" xfId="94" applyFont="1" applyAlignment="1">
      <alignment vertical="center"/>
    </xf>
    <xf numFmtId="0" fontId="43" fillId="0" borderId="0" xfId="46" applyFont="1" applyAlignment="1">
      <alignment horizontal="center" vertical="top"/>
    </xf>
    <xf numFmtId="0" fontId="17" fillId="0" borderId="0" xfId="52" applyFont="1" applyAlignment="1">
      <alignment horizontal="left" vertical="center"/>
    </xf>
    <xf numFmtId="0" fontId="43" fillId="0" borderId="0" xfId="51" applyFont="1" applyAlignment="1">
      <alignment horizontal="center" vertical="center" wrapText="1"/>
    </xf>
    <xf numFmtId="0" fontId="43" fillId="0" borderId="0" xfId="54" applyFont="1" applyAlignment="1">
      <alignment horizontal="center" vertical="center"/>
    </xf>
    <xf numFmtId="0" fontId="43" fillId="0" borderId="0" xfId="54" applyFont="1" applyAlignment="1">
      <alignment horizontal="center" vertical="center" shrinkToFit="1"/>
    </xf>
    <xf numFmtId="181" fontId="43" fillId="0" borderId="0" xfId="51" applyNumberFormat="1" applyFont="1" applyAlignment="1">
      <alignment horizontal="center" vertical="center" wrapText="1"/>
    </xf>
    <xf numFmtId="182" fontId="43" fillId="0" borderId="0" xfId="51" applyNumberFormat="1" applyFont="1" applyAlignment="1">
      <alignment horizontal="center" vertical="center" wrapText="1"/>
    </xf>
    <xf numFmtId="182" fontId="50" fillId="0" borderId="1" xfId="46" applyNumberFormat="1" applyFont="1" applyBorder="1" applyAlignment="1">
      <alignment horizontal="center" vertical="center"/>
    </xf>
    <xf numFmtId="0" fontId="50" fillId="0" borderId="0" xfId="54" applyFont="1" applyAlignment="1">
      <alignment horizontal="center" vertical="center"/>
    </xf>
    <xf numFmtId="0" fontId="50" fillId="0" borderId="1" xfId="46" applyFont="1" applyBorder="1" applyAlignment="1">
      <alignment horizontal="center" vertical="center" wrapText="1"/>
    </xf>
    <xf numFmtId="182" fontId="50" fillId="0" borderId="1" xfId="46" applyNumberFormat="1" applyFont="1" applyBorder="1" applyAlignment="1">
      <alignment horizontal="center" vertical="center" wrapText="1"/>
    </xf>
    <xf numFmtId="181" fontId="43" fillId="0" borderId="0" xfId="54" applyNumberFormat="1" applyFont="1" applyAlignment="1">
      <alignment horizontal="center" vertical="center"/>
    </xf>
    <xf numFmtId="182" fontId="43" fillId="0" borderId="0" xfId="54" applyNumberFormat="1" applyFont="1" applyAlignment="1">
      <alignment horizontal="center" vertical="center"/>
    </xf>
    <xf numFmtId="0" fontId="14" fillId="0" borderId="0" xfId="52" applyFont="1" applyAlignment="1">
      <alignment horizontal="left" vertical="center"/>
    </xf>
    <xf numFmtId="0" fontId="14" fillId="0" borderId="0" xfId="52" applyFont="1" applyAlignment="1">
      <alignment horizontal="center" vertical="center"/>
    </xf>
    <xf numFmtId="0" fontId="14" fillId="0" borderId="0" xfId="46" applyFont="1" applyAlignment="1">
      <alignment horizontal="center" vertical="center" shrinkToFit="1"/>
    </xf>
    <xf numFmtId="0" fontId="14" fillId="0" borderId="0" xfId="54" applyFont="1" applyAlignment="1">
      <alignment horizontal="center" vertical="center"/>
    </xf>
    <xf numFmtId="0" fontId="14" fillId="0" borderId="0" xfId="51" applyFont="1" applyAlignment="1">
      <alignment horizontal="center" vertical="center"/>
    </xf>
    <xf numFmtId="0" fontId="14" fillId="0" borderId="0" xfId="51" applyFont="1" applyAlignment="1">
      <alignment horizontal="center" vertical="center" wrapText="1"/>
    </xf>
    <xf numFmtId="181" fontId="14" fillId="0" borderId="0" xfId="51" applyNumberFormat="1" applyFont="1" applyAlignment="1">
      <alignment horizontal="center" vertical="center"/>
    </xf>
    <xf numFmtId="0" fontId="14" fillId="0" borderId="0" xfId="46" applyFont="1" applyAlignment="1">
      <alignment horizontal="left" vertical="center"/>
    </xf>
    <xf numFmtId="0" fontId="14" fillId="0" borderId="0" xfId="46" applyFont="1" applyAlignment="1">
      <alignment horizontal="center" vertical="center"/>
    </xf>
    <xf numFmtId="182" fontId="14" fillId="0" borderId="0" xfId="46" applyNumberFormat="1" applyFont="1" applyAlignment="1">
      <alignment horizontal="center" vertical="center"/>
    </xf>
    <xf numFmtId="184" fontId="14" fillId="0" borderId="0" xfId="52" applyNumberFormat="1" applyFont="1" applyAlignment="1">
      <alignment horizontal="center" vertical="center"/>
    </xf>
    <xf numFmtId="49" fontId="14" fillId="0" borderId="0" xfId="46" applyNumberFormat="1" applyFont="1" applyAlignment="1">
      <alignment horizontal="center" vertical="center"/>
    </xf>
    <xf numFmtId="49" fontId="14" fillId="0" borderId="0" xfId="51" applyNumberFormat="1" applyFont="1" applyAlignment="1">
      <alignment horizontal="center" vertical="center"/>
    </xf>
    <xf numFmtId="0" fontId="14" fillId="0" borderId="0" xfId="54" applyFont="1" applyAlignment="1">
      <alignment horizontal="left" vertical="center"/>
    </xf>
    <xf numFmtId="0" fontId="18" fillId="0" borderId="1" xfId="79" applyFont="1" applyBorder="1" applyAlignment="1">
      <alignment horizontal="center" vertical="center" wrapText="1"/>
    </xf>
    <xf numFmtId="0" fontId="18" fillId="0" borderId="1" xfId="65" applyFont="1" applyBorder="1" applyAlignment="1">
      <alignment horizontal="center" vertical="center"/>
    </xf>
    <xf numFmtId="0" fontId="18" fillId="0" borderId="1" xfId="79" applyFont="1" applyBorder="1" applyAlignment="1">
      <alignment horizontal="center" vertical="center" shrinkToFit="1"/>
    </xf>
    <xf numFmtId="0" fontId="18" fillId="0" borderId="1" xfId="79" applyFont="1" applyBorder="1" applyAlignment="1">
      <alignment horizontal="center" vertical="center"/>
    </xf>
    <xf numFmtId="185" fontId="18" fillId="0" borderId="1" xfId="79" applyNumberFormat="1" applyFont="1" applyBorder="1" applyAlignment="1">
      <alignment horizontal="center" vertical="center" shrinkToFit="1"/>
    </xf>
    <xf numFmtId="185" fontId="18" fillId="0" borderId="1" xfId="79" applyNumberFormat="1" applyFont="1" applyBorder="1" applyAlignment="1">
      <alignment horizontal="center" vertical="center"/>
    </xf>
    <xf numFmtId="0" fontId="18" fillId="0" borderId="0" xfId="54" applyFont="1">
      <alignment vertical="center"/>
    </xf>
    <xf numFmtId="49" fontId="14" fillId="0" borderId="0" xfId="51" applyNumberFormat="1" applyFont="1" applyAlignment="1">
      <alignment horizontal="left" vertical="center"/>
    </xf>
    <xf numFmtId="180" fontId="17" fillId="0" borderId="0" xfId="52" applyNumberFormat="1" applyFont="1" applyAlignment="1">
      <alignment horizontal="center" vertical="center"/>
    </xf>
    <xf numFmtId="0" fontId="14" fillId="0" borderId="0" xfId="51" applyFont="1" applyAlignment="1">
      <alignment horizontal="right" vertical="center"/>
    </xf>
    <xf numFmtId="0" fontId="14" fillId="0" borderId="0" xfId="54" applyFont="1" applyAlignment="1">
      <alignment horizontal="right" vertical="center"/>
    </xf>
    <xf numFmtId="0" fontId="18" fillId="2" borderId="1" xfId="53" applyFont="1" applyFill="1" applyBorder="1" applyAlignment="1">
      <alignment horizontal="center" vertical="center" shrinkToFit="1"/>
    </xf>
    <xf numFmtId="0" fontId="18" fillId="2" borderId="1" xfId="46" applyFont="1" applyFill="1" applyBorder="1" applyAlignment="1">
      <alignment horizontal="center" vertical="center"/>
    </xf>
    <xf numFmtId="0" fontId="18" fillId="2" borderId="1" xfId="53" applyFont="1" applyFill="1" applyBorder="1" applyAlignment="1">
      <alignment horizontal="center" vertical="center" wrapText="1"/>
    </xf>
    <xf numFmtId="180" fontId="18" fillId="2" borderId="1" xfId="53" applyNumberFormat="1" applyFont="1" applyFill="1" applyBorder="1" applyAlignment="1">
      <alignment horizontal="center" vertical="center"/>
    </xf>
    <xf numFmtId="181" fontId="18" fillId="2" borderId="1" xfId="53" applyNumberFormat="1" applyFont="1" applyFill="1" applyBorder="1" applyAlignment="1">
      <alignment horizontal="center" vertical="center"/>
    </xf>
    <xf numFmtId="0" fontId="18" fillId="2" borderId="0" xfId="46" applyFont="1" applyFill="1">
      <alignment vertical="center"/>
    </xf>
    <xf numFmtId="0" fontId="18" fillId="2" borderId="1" xfId="46" applyFont="1" applyFill="1" applyBorder="1" applyAlignment="1">
      <alignment horizontal="center" vertical="center" shrinkToFit="1"/>
    </xf>
    <xf numFmtId="0" fontId="18" fillId="2" borderId="1" xfId="54" applyFont="1" applyFill="1" applyBorder="1" applyAlignment="1">
      <alignment horizontal="center" vertical="center" shrinkToFit="1"/>
    </xf>
    <xf numFmtId="0" fontId="18" fillId="2" borderId="1" xfId="54" applyFont="1" applyFill="1" applyBorder="1" applyAlignment="1">
      <alignment horizontal="center" vertical="center"/>
    </xf>
    <xf numFmtId="0" fontId="18" fillId="2" borderId="0" xfId="46" applyFont="1" applyFill="1" applyAlignment="1">
      <alignment horizontal="center" vertical="top"/>
    </xf>
    <xf numFmtId="0" fontId="50" fillId="2" borderId="1" xfId="54" applyFont="1" applyFill="1" applyBorder="1" applyAlignment="1">
      <alignment horizontal="center" vertical="center"/>
    </xf>
    <xf numFmtId="0" fontId="50" fillId="2" borderId="1" xfId="54" applyFont="1" applyFill="1" applyBorder="1" applyAlignment="1">
      <alignment horizontal="center" vertical="center" shrinkToFit="1"/>
    </xf>
    <xf numFmtId="185" fontId="50" fillId="2" borderId="1" xfId="54" applyNumberFormat="1" applyFont="1" applyFill="1" applyBorder="1" applyAlignment="1">
      <alignment horizontal="center" vertical="center"/>
    </xf>
    <xf numFmtId="0" fontId="50" fillId="2" borderId="0" xfId="46" applyFont="1" applyFill="1" applyAlignment="1">
      <alignment horizontal="center" vertical="top"/>
    </xf>
    <xf numFmtId="179" fontId="18" fillId="0" borderId="1" xfId="79" applyNumberFormat="1" applyFont="1" applyBorder="1" applyAlignment="1">
      <alignment horizontal="center" vertical="center"/>
    </xf>
    <xf numFmtId="179" fontId="18" fillId="2" borderId="1" xfId="53" applyNumberFormat="1" applyFont="1" applyFill="1" applyBorder="1" applyAlignment="1">
      <alignment horizontal="center" vertical="center"/>
    </xf>
    <xf numFmtId="0" fontId="18" fillId="0" borderId="0" xfId="46" applyFont="1">
      <alignment vertical="center"/>
    </xf>
    <xf numFmtId="0" fontId="18" fillId="0" borderId="0" xfId="46" applyFont="1" applyAlignment="1">
      <alignment horizontal="center" vertical="top"/>
    </xf>
    <xf numFmtId="0" fontId="50" fillId="0" borderId="0" xfId="46" applyFont="1" applyAlignment="1">
      <alignment horizontal="center" vertical="top"/>
    </xf>
    <xf numFmtId="0" fontId="16" fillId="0" borderId="0" xfId="44" applyNumberFormat="1" applyFont="1">
      <alignment vertical="center"/>
    </xf>
    <xf numFmtId="0" fontId="14" fillId="0" borderId="6" xfId="44" applyNumberFormat="1" applyFont="1" applyBorder="1">
      <alignment vertical="center"/>
    </xf>
    <xf numFmtId="0" fontId="14" fillId="0" borderId="6" xfId="44" applyNumberFormat="1" applyFont="1" applyBorder="1" applyAlignment="1">
      <alignment horizontal="center" vertical="center"/>
    </xf>
    <xf numFmtId="0" fontId="14" fillId="0" borderId="7" xfId="44" applyNumberFormat="1" applyFont="1" applyBorder="1" applyAlignment="1">
      <alignment horizontal="center" vertical="center"/>
    </xf>
    <xf numFmtId="0" fontId="14" fillId="0" borderId="7" xfId="44" applyNumberFormat="1" applyFont="1" applyBorder="1">
      <alignment vertical="center"/>
    </xf>
    <xf numFmtId="0" fontId="20" fillId="0" borderId="0" xfId="93" applyFont="1">
      <alignment vertical="center"/>
    </xf>
    <xf numFmtId="0" fontId="20" fillId="0" borderId="0" xfId="10" applyNumberFormat="1" applyFont="1">
      <alignment vertical="center"/>
    </xf>
    <xf numFmtId="0" fontId="26" fillId="0" borderId="0" xfId="22" applyFont="1" applyAlignment="1">
      <alignment horizontal="center"/>
    </xf>
    <xf numFmtId="0" fontId="27" fillId="0" borderId="0" xfId="22" applyFont="1" applyAlignment="1">
      <alignment horizontal="center"/>
    </xf>
    <xf numFmtId="0" fontId="13" fillId="0" borderId="0" xfId="36" applyNumberFormat="1" applyFont="1" applyAlignment="1">
      <alignment horizontal="center" vertical="center"/>
    </xf>
    <xf numFmtId="49" fontId="18" fillId="2" borderId="1" xfId="53" applyNumberFormat="1" applyFont="1" applyFill="1" applyBorder="1" applyAlignment="1">
      <alignment horizontal="center" vertical="center" wrapText="1" shrinkToFit="1"/>
    </xf>
    <xf numFmtId="49" fontId="18" fillId="2" borderId="1" xfId="53" applyNumberFormat="1" applyFont="1" applyFill="1" applyBorder="1" applyAlignment="1">
      <alignment horizontal="center" vertical="center" wrapText="1"/>
    </xf>
    <xf numFmtId="180" fontId="18" fillId="2" borderId="1" xfId="53" applyNumberFormat="1" applyFont="1" applyFill="1" applyBorder="1" applyAlignment="1">
      <alignment horizontal="center" vertical="center" wrapText="1"/>
    </xf>
    <xf numFmtId="0" fontId="18" fillId="2" borderId="2" xfId="54" applyFont="1" applyFill="1" applyBorder="1" applyAlignment="1">
      <alignment horizontal="center" vertical="center"/>
    </xf>
    <xf numFmtId="0" fontId="18" fillId="2" borderId="3" xfId="54" applyFont="1" applyFill="1" applyBorder="1" applyAlignment="1">
      <alignment horizontal="center" vertical="center"/>
    </xf>
    <xf numFmtId="0" fontId="18" fillId="2" borderId="4" xfId="54" applyFont="1" applyFill="1" applyBorder="1" applyAlignment="1">
      <alignment horizontal="center" vertical="center"/>
    </xf>
    <xf numFmtId="0" fontId="18" fillId="0" borderId="2" xfId="79" applyFont="1" applyBorder="1" applyAlignment="1">
      <alignment horizontal="center" vertical="center" wrapText="1" shrinkToFit="1"/>
    </xf>
    <xf numFmtId="0" fontId="18" fillId="0" borderId="3" xfId="79" applyFont="1" applyBorder="1" applyAlignment="1">
      <alignment horizontal="center" vertical="center" wrapText="1" shrinkToFit="1"/>
    </xf>
    <xf numFmtId="0" fontId="18" fillId="0" borderId="2" xfId="79" applyFont="1" applyBorder="1" applyAlignment="1">
      <alignment horizontal="center" vertical="center"/>
    </xf>
    <xf numFmtId="0" fontId="18" fillId="0" borderId="3" xfId="79" applyFont="1" applyBorder="1" applyAlignment="1">
      <alignment horizontal="center" vertical="center"/>
    </xf>
    <xf numFmtId="0" fontId="18" fillId="0" borderId="2" xfId="79" applyFont="1" applyBorder="1" applyAlignment="1">
      <alignment horizontal="center" vertical="center" wrapText="1"/>
    </xf>
    <xf numFmtId="0" fontId="18" fillId="0" borderId="3" xfId="79" applyFont="1" applyBorder="1" applyAlignment="1">
      <alignment horizontal="center" vertical="center" wrapText="1"/>
    </xf>
    <xf numFmtId="49" fontId="18" fillId="2" borderId="2" xfId="53" applyNumberFormat="1" applyFont="1" applyFill="1" applyBorder="1" applyAlignment="1">
      <alignment horizontal="center" vertical="center" wrapText="1" shrinkToFit="1"/>
    </xf>
    <xf numFmtId="49" fontId="18" fillId="2" borderId="3" xfId="53" applyNumberFormat="1" applyFont="1" applyFill="1" applyBorder="1" applyAlignment="1">
      <alignment horizontal="center" vertical="center" wrapText="1" shrinkToFit="1"/>
    </xf>
    <xf numFmtId="49" fontId="18" fillId="2" borderId="4" xfId="53" applyNumberFormat="1" applyFont="1" applyFill="1" applyBorder="1" applyAlignment="1">
      <alignment horizontal="center" vertical="center" wrapText="1" shrinkToFit="1"/>
    </xf>
    <xf numFmtId="49" fontId="18" fillId="2" borderId="2" xfId="53" applyNumberFormat="1" applyFont="1" applyFill="1" applyBorder="1" applyAlignment="1">
      <alignment horizontal="center" vertical="center" wrapText="1"/>
    </xf>
    <xf numFmtId="49" fontId="18" fillId="2" borderId="3" xfId="53" applyNumberFormat="1" applyFont="1" applyFill="1" applyBorder="1" applyAlignment="1">
      <alignment horizontal="center" vertical="center" wrapText="1"/>
    </xf>
    <xf numFmtId="49" fontId="18" fillId="2" borderId="4" xfId="53" applyNumberFormat="1" applyFont="1" applyFill="1" applyBorder="1" applyAlignment="1">
      <alignment horizontal="center" vertical="center" wrapText="1"/>
    </xf>
    <xf numFmtId="180" fontId="18" fillId="2" borderId="2" xfId="53" applyNumberFormat="1" applyFont="1" applyFill="1" applyBorder="1" applyAlignment="1">
      <alignment horizontal="center" vertical="center" wrapText="1"/>
    </xf>
    <xf numFmtId="180" fontId="18" fillId="2" borderId="3" xfId="53" applyNumberFormat="1" applyFont="1" applyFill="1" applyBorder="1" applyAlignment="1">
      <alignment horizontal="center" vertical="center" wrapText="1"/>
    </xf>
    <xf numFmtId="180" fontId="18" fillId="2" borderId="4" xfId="53" applyNumberFormat="1" applyFont="1" applyFill="1" applyBorder="1" applyAlignment="1">
      <alignment horizontal="center" vertical="center" wrapText="1"/>
    </xf>
    <xf numFmtId="0" fontId="15" fillId="0" borderId="0" xfId="51" applyFont="1" applyAlignment="1">
      <alignment horizontal="center" vertical="center"/>
    </xf>
    <xf numFmtId="0" fontId="17" fillId="0" borderId="0" xfId="52" applyFont="1" applyAlignment="1">
      <alignment horizontal="center" vertical="center"/>
    </xf>
    <xf numFmtId="0" fontId="14" fillId="0" borderId="0" xfId="52" applyFont="1" applyAlignment="1">
      <alignment horizontal="center" vertical="center"/>
    </xf>
    <xf numFmtId="0" fontId="50" fillId="0" borderId="1" xfId="53" applyFont="1" applyBorder="1" applyAlignment="1">
      <alignment horizontal="center" vertical="center" wrapText="1" shrinkToFit="1"/>
    </xf>
    <xf numFmtId="0" fontId="50" fillId="0" borderId="1" xfId="53" applyFont="1" applyBorder="1" applyAlignment="1">
      <alignment horizontal="center" vertical="center" shrinkToFit="1"/>
    </xf>
    <xf numFmtId="0" fontId="50" fillId="0" borderId="1" xfId="53" applyFont="1" applyBorder="1" applyAlignment="1">
      <alignment horizontal="center" vertical="center" wrapText="1"/>
    </xf>
    <xf numFmtId="0" fontId="50" fillId="0" borderId="1" xfId="53" applyFont="1" applyBorder="1" applyAlignment="1">
      <alignment horizontal="center" vertical="center"/>
    </xf>
    <xf numFmtId="0" fontId="50" fillId="0" borderId="1" xfId="46" applyFont="1" applyBorder="1" applyAlignment="1">
      <alignment horizontal="center" vertical="center"/>
    </xf>
    <xf numFmtId="0" fontId="14" fillId="0" borderId="0" xfId="37" applyNumberFormat="1" applyFont="1" applyBorder="1" applyAlignment="1">
      <alignment vertical="center"/>
    </xf>
    <xf numFmtId="0" fontId="14" fillId="3" borderId="0" xfId="37" applyNumberFormat="1" applyFont="1" applyFill="1" applyAlignment="1">
      <alignment vertical="center"/>
    </xf>
    <xf numFmtId="0" fontId="14" fillId="3" borderId="0" xfId="37" applyNumberFormat="1" applyFont="1" applyFill="1" applyAlignment="1">
      <alignment horizontal="center" vertical="center"/>
    </xf>
    <xf numFmtId="0" fontId="14" fillId="3" borderId="0" xfId="37" applyNumberFormat="1" applyFont="1" applyFill="1" applyAlignment="1">
      <alignment horizontal="center" vertical="center" wrapText="1"/>
    </xf>
    <xf numFmtId="49" fontId="14" fillId="3" borderId="0" xfId="37" applyNumberFormat="1" applyFont="1" applyFill="1" applyAlignment="1">
      <alignment horizontal="center" vertical="center"/>
    </xf>
    <xf numFmtId="0" fontId="17" fillId="3" borderId="0" xfId="37" applyNumberFormat="1" applyFont="1" applyFill="1" applyAlignment="1">
      <alignment horizontal="center" vertical="center"/>
    </xf>
    <xf numFmtId="0" fontId="20" fillId="3" borderId="0" xfId="93" applyFont="1" applyFill="1">
      <alignment vertical="center"/>
    </xf>
    <xf numFmtId="0" fontId="14" fillId="3" borderId="0" xfId="37" applyNumberFormat="1" applyFont="1" applyFill="1" applyAlignment="1">
      <alignment horizontal="right" vertical="center"/>
    </xf>
    <xf numFmtId="2" fontId="14" fillId="3" borderId="0" xfId="37" applyNumberFormat="1" applyFont="1" applyFill="1" applyAlignment="1">
      <alignment horizontal="left" vertical="center"/>
    </xf>
    <xf numFmtId="180" fontId="14" fillId="3" borderId="0" xfId="37" applyNumberFormat="1" applyFont="1" applyFill="1" applyAlignment="1">
      <alignment horizontal="left" vertical="center"/>
    </xf>
    <xf numFmtId="0" fontId="20" fillId="3" borderId="0" xfId="10" applyNumberFormat="1" applyFont="1" applyFill="1">
      <alignment vertical="center"/>
    </xf>
    <xf numFmtId="0" fontId="52" fillId="3" borderId="0" xfId="37" applyNumberFormat="1" applyFont="1" applyFill="1" applyAlignment="1">
      <alignment vertical="center"/>
    </xf>
  </cellXfs>
  <cellStyles count="98">
    <cellStyle name="_#809 MINK-01 - CLZ_01 12 2010 Packing to Ivy_ELC PO# ELC5299 - ELC5330_PO# QC0476 - QC0500_PO# RL0026 - RL0050" xfId="1" xr:uid="{00000000-0005-0000-0000-000031000000}"/>
    <cellStyle name="_ET_STYLE_NoName_00_" xfId="2" xr:uid="{00000000-0005-0000-0000-000032000000}"/>
    <cellStyle name="_ET_STYLE_NoName_00_ 2" xfId="3" xr:uid="{00000000-0005-0000-0000-000033000000}"/>
    <cellStyle name="Excel Built-in Explanatory Text" xfId="62" xr:uid="{02469148-F51F-4BDD-9A29-77E1D267E7A1}"/>
    <cellStyle name="一般" xfId="0" builtinId="0"/>
    <cellStyle name="一般 13" xfId="4" xr:uid="{00000000-0005-0000-0000-000034000000}"/>
    <cellStyle name="一般 13 2" xfId="46" xr:uid="{A0C51A67-B81A-4EF6-A87E-A69378602518}"/>
    <cellStyle name="一般 2" xfId="5" xr:uid="{00000000-0005-0000-0000-000035000000}"/>
    <cellStyle name="一般 2 2" xfId="6" xr:uid="{00000000-0005-0000-0000-000036000000}"/>
    <cellStyle name="一般 2 2 2" xfId="57" xr:uid="{A3F92124-F7B8-4A79-BACC-BC7BA96907A1}"/>
    <cellStyle name="一般 2 2 2 2" xfId="7" xr:uid="{00000000-0005-0000-0000-000037000000}"/>
    <cellStyle name="一般 2 2 2 2 2" xfId="8" xr:uid="{00000000-0005-0000-0000-000038000000}"/>
    <cellStyle name="一般 2 2 2 2 2 2" xfId="9" xr:uid="{00000000-0005-0000-0000-000039000000}"/>
    <cellStyle name="一般 2 2 2 2 2 2 2" xfId="63" xr:uid="{3CE7A8A9-0160-4C27-80CD-BB7EFBB3E830}"/>
    <cellStyle name="一般 2 2 2 2 2 2 2 2" xfId="60" xr:uid="{1C3D37C8-F7CD-49CC-A575-7CB0571D21A4}"/>
    <cellStyle name="一般 2 2 2 2 2 2 3" xfId="96" xr:uid="{7DB4136B-4DC5-4341-8A6A-9EC1D2D04869}"/>
    <cellStyle name="一般 2 2 2 2 2 3" xfId="92" xr:uid="{33CFCFCC-4ABB-4D4B-811D-C88F77CECB37}"/>
    <cellStyle name="一般 2 2 2 2 2 4" xfId="88" xr:uid="{020F2333-B125-4230-8699-6AAA7BE5704A}"/>
    <cellStyle name="一般 2 2 2 2 3" xfId="40" xr:uid="{951B1A09-1173-421E-8278-B70ED1906BF0}"/>
    <cellStyle name="一般 2 2 2 2 4" xfId="58" xr:uid="{332D1BAD-5E9A-43E0-A6EB-27F395FBF10E}"/>
    <cellStyle name="一般 2 2 2 3" xfId="59" xr:uid="{73783D95-8784-4D15-A056-5460422BA3C1}"/>
    <cellStyle name="一般 2 2 3" xfId="10" xr:uid="{00000000-0005-0000-0000-00003A000000}"/>
    <cellStyle name="一般 2 2 3 2" xfId="91" xr:uid="{FE7B4CE3-7EAE-47D8-9856-BA21E7B41C5B}"/>
    <cellStyle name="一般 2 2 3 3" xfId="64" xr:uid="{888EFE1E-FEFC-4E3E-B4AB-EB7964CD262C}"/>
    <cellStyle name="一般 2 2 4" xfId="56" xr:uid="{5E58EE81-9245-4C5A-9AF9-FEF4ED83E352}"/>
    <cellStyle name="一般 2 3" xfId="11" xr:uid="{00000000-0005-0000-0000-00003B000000}"/>
    <cellStyle name="一般 2 3 2" xfId="65" xr:uid="{F4F01F14-3640-4C31-9227-011337A6CD56}"/>
    <cellStyle name="一般 2 3 2 2" xfId="12" xr:uid="{00000000-0005-0000-0000-00003C000000}"/>
    <cellStyle name="一般 2 3 2 2 2" xfId="66" xr:uid="{82B1FD05-17C6-418E-A681-7314DB995D1A}"/>
    <cellStyle name="一般 2 3 2 2 3" xfId="13" xr:uid="{00000000-0005-0000-0000-00003D000000}"/>
    <cellStyle name="一般 2 3 2 2 3 2" xfId="38" xr:uid="{DFEE3E30-D925-4588-9E9C-A66C31C59FA5}"/>
    <cellStyle name="一般 2 3 2 2 4" xfId="97" xr:uid="{EFFAD2B5-9606-46BD-81AF-732D0E50CDEB}"/>
    <cellStyle name="一般 2 3 2 2 5" xfId="61" xr:uid="{A6D9D620-9D6F-46CB-8605-0EFF91A7C270}"/>
    <cellStyle name="一般 2 3 3" xfId="14" xr:uid="{00000000-0005-0000-0000-00003E000000}"/>
    <cellStyle name="一般 2 3 3 2" xfId="41" xr:uid="{A6987062-7D23-47D6-BD39-7CCB5DBDE62A}"/>
    <cellStyle name="一般 2 3 3 2 2" xfId="67" xr:uid="{B996DABF-865F-4026-A5BF-530F4FE8FF16}"/>
    <cellStyle name="一般 2 3 3 3" xfId="15" xr:uid="{00000000-0005-0000-0000-00003F000000}"/>
    <cellStyle name="一般 2 3 3 3 2" xfId="37" xr:uid="{31F27D36-7062-45A7-A6F4-570A5D4318C6}"/>
    <cellStyle name="一般 2 3 3 4" xfId="89" xr:uid="{8179CA5C-57DE-4043-B873-28F364BAD8A5}"/>
    <cellStyle name="一般 2 3 4" xfId="94" xr:uid="{6684D3D3-54C8-4D19-A87A-CE587AD5D175}"/>
    <cellStyle name="一般 2 4" xfId="16" xr:uid="{00000000-0005-0000-0000-000040000000}"/>
    <cellStyle name="一般 2 4 2" xfId="42" xr:uid="{24A2F400-5334-4808-9859-5A883AA090EB}"/>
    <cellStyle name="一般 2 4 2 2" xfId="55" xr:uid="{F147913B-D042-4F06-8C4E-0BD021F99E4E}"/>
    <cellStyle name="一般 2 4 3" xfId="17" xr:uid="{00000000-0005-0000-0000-000041000000}"/>
    <cellStyle name="一般 2 4 3 2" xfId="44" xr:uid="{D71C6978-CB22-4B2D-A98E-10BBACCE81CC}"/>
    <cellStyle name="一般 2 4 3 3" xfId="90" xr:uid="{AC65973B-8A79-4F6F-897D-B00EE12310D9}"/>
    <cellStyle name="一般 2 5" xfId="47" xr:uid="{FA55E804-8712-462F-87A5-36732A8449B2}"/>
    <cellStyle name="一般 2 5 2" xfId="48" xr:uid="{D112314E-651D-4F2D-A54F-F2BD455B6D73}"/>
    <cellStyle name="一般 2_aldo shpt  01 24 13 pi#aps us j-081   cfs " xfId="18" xr:uid="{00000000-0005-0000-0000-000042000000}"/>
    <cellStyle name="一般 3" xfId="19" xr:uid="{00000000-0005-0000-0000-000043000000}"/>
    <cellStyle name="一般 3 2" xfId="69" xr:uid="{D583FE59-3E63-4EC6-9C98-69EACD0899D4}"/>
    <cellStyle name="一般 3 2 2" xfId="70" xr:uid="{7DDC7F00-62E7-4AC0-A3D4-1C50BDD02271}"/>
    <cellStyle name="一般 3 2 2 2" xfId="20" xr:uid="{00000000-0005-0000-0000-000044000000}"/>
    <cellStyle name="一般 3 2 2 2 2" xfId="95" xr:uid="{9CC4455A-A1EC-492A-BFB5-5268533C7C14}"/>
    <cellStyle name="一般 3 2 3" xfId="71" xr:uid="{36C08F61-8485-4AF3-94AD-0A39D186D458}"/>
    <cellStyle name="一般 3 2 3 2" xfId="21" xr:uid="{00000000-0005-0000-0000-000045000000}"/>
    <cellStyle name="一般 3 2 3 2 2" xfId="43" xr:uid="{D8294CDC-8C4A-48CC-AC3A-018B1B8C13F4}"/>
    <cellStyle name="一般 3 3" xfId="22" xr:uid="{00000000-0005-0000-0000-000046000000}"/>
    <cellStyle name="一般 3 3 2" xfId="72" xr:uid="{E63384A4-5C56-4B30-AC90-A9FC59041328}"/>
    <cellStyle name="一般 3 4" xfId="68" xr:uid="{3EAF792C-769F-47C1-9CB5-F5F82BCF8648}"/>
    <cellStyle name="一般 4" xfId="23" xr:uid="{00000000-0005-0000-0000-000047000000}"/>
    <cellStyle name="一般 4 2" xfId="24" xr:uid="{00000000-0005-0000-0000-000048000000}"/>
    <cellStyle name="一般 4 2 2" xfId="49" xr:uid="{620082D6-671C-449C-A756-3C9EC0A99995}"/>
    <cellStyle name="一般 4 2 3" xfId="52" xr:uid="{614DA66B-D4E0-4AE8-B8AA-DA26EFAAEC99}"/>
    <cellStyle name="一般 4 3" xfId="50" xr:uid="{EFD6C056-66FF-408E-BBAB-85375CFB4FD6}"/>
    <cellStyle name="一般 4 4" xfId="87" xr:uid="{2CB93437-3623-4C1F-B07E-49C14E815EE2}"/>
    <cellStyle name="一般 5" xfId="25" xr:uid="{00000000-0005-0000-0000-000049000000}"/>
    <cellStyle name="一般 5 2" xfId="74" xr:uid="{782A8E22-388F-4E7F-B5BC-F2215352B9BE}"/>
    <cellStyle name="一般 5 3" xfId="73" xr:uid="{88FFC411-3D3B-47E4-BE80-ADCF92E59A66}"/>
    <cellStyle name="一般 6" xfId="26" xr:uid="{00000000-0005-0000-0000-00004A000000}"/>
    <cellStyle name="一般 7" xfId="27" xr:uid="{00000000-0005-0000-0000-00004B000000}"/>
    <cellStyle name="一般 8 2" xfId="39" xr:uid="{26586E06-55AF-4F3A-999E-9D3B32067EE9}"/>
    <cellStyle name="一般_PL g.f.c. 12.17.14   13-397d,15-566,576,584....754ctns.,8,484prs.,8,395.00kgs.,72.5179cbm.,  PI # GB-541 " xfId="28" xr:uid="{00000000-0005-0000-0000-00004D000000}"/>
    <cellStyle name="一般_PL g.f.c. 12.17.14   13-397d,15-566,576,584....754ctns.,8,484prs.,8,395.00kgs.,72.5179cbm.,  PI # GB-541  2" xfId="29" xr:uid="{00000000-0005-0000-0000-00004E000000}"/>
    <cellStyle name="一般_PL g.f.c. 12.17.14   13-397d,15-566,576,584....754ctns.,8,484prs.,8,395.00kgs.,72.5179cbm.,  PI # GB-541  2 3" xfId="54" xr:uid="{9FBAE148-260E-46E2-A32F-14965F65C311}"/>
    <cellStyle name="一般_so-Boathouse" xfId="93" xr:uid="{34F5DEAA-0722-493A-B4F6-6139CA2A7F0D}"/>
    <cellStyle name="常规 2" xfId="75" xr:uid="{8F4FDECB-75DE-491C-93F9-B15F2B8A67C8}"/>
    <cellStyle name="常规 2 2" xfId="76" xr:uid="{69F25CA0-4FB9-4FEE-8DD8-03F4274E0EF2}"/>
    <cellStyle name="常规 3" xfId="77" xr:uid="{C32F9F6A-A590-4100-AD24-92DE329AB893}"/>
    <cellStyle name="常规 3 2" xfId="78" xr:uid="{8CF43D23-E5D6-4AE3-8D31-F6DAFF2934FC}"/>
    <cellStyle name="常规_A13" xfId="30" xr:uid="{00000000-0005-0000-0000-000052000000}"/>
    <cellStyle name="常规_A13 2" xfId="51" xr:uid="{BA153EF3-53A4-423F-ABE1-0E498E97CA0A}"/>
    <cellStyle name="常规_Sheet1" xfId="79" xr:uid="{BBA93EE2-A793-41CB-8100-E73C8034715A}"/>
    <cellStyle name="常规_Sheet1 2" xfId="53" xr:uid="{DE28989E-42E3-447F-BDF8-99BCA0BF3FDE}"/>
    <cellStyle name="超連結 2" xfId="80" xr:uid="{BAA72C8E-4BEB-4DAD-8C17-04C60CC95A70}"/>
    <cellStyle name="超連結 2 2" xfId="81" xr:uid="{59FF672C-25AE-484C-B0DE-F7139C9A00F5}"/>
    <cellStyle name="超連結 3" xfId="82" xr:uid="{EC681B02-DD23-4FD3-AC49-597BF70FC46E}"/>
    <cellStyle name="超連結 3 2" xfId="31" xr:uid="{00000000-0005-0000-0000-000056000000}"/>
    <cellStyle name="超連結 3 2 2 2" xfId="83" xr:uid="{0E806493-1997-4E28-BDB0-A74595949276}"/>
    <cellStyle name="超連結 3 2 2 2 2" xfId="32" xr:uid="{00000000-0005-0000-0000-000057000000}"/>
    <cellStyle name="超連結 3 2 2 2 2 2" xfId="45" xr:uid="{DD1618B8-A813-4253-AD37-BD61094EF736}"/>
    <cellStyle name="說明文字 2" xfId="33" xr:uid="{00000000-0005-0000-0000-000058000000}"/>
    <cellStyle name="說明文字 2 2" xfId="85" xr:uid="{A698A907-64C8-4A82-802A-21B8A8219974}"/>
    <cellStyle name="說明文字 2 2 2" xfId="34" xr:uid="{00000000-0005-0000-0000-000059000000}"/>
    <cellStyle name="說明文字 2 2 2 2" xfId="36" xr:uid="{88905462-9D91-47A1-851B-66ED59881400}"/>
    <cellStyle name="說明文字 2 3" xfId="84" xr:uid="{C1F0113A-1672-4EE8-9D34-74A4D71493A9}"/>
    <cellStyle name="說明文字 3" xfId="86" xr:uid="{3FAB8D10-E473-4328-B1DA-38D71712D42D}"/>
    <cellStyle name="樣式 1" xfId="35" xr:uid="{00000000-0005-0000-0000-00005A000000}"/>
  </cellStyles>
  <dxfs count="0"/>
  <tableStyles count="1" defaultTableStyle="TableStyleMedium2" defaultPivotStyle="PivotStyleLight16">
    <tableStyle name="Invisible" pivot="0" table="0" count="0" xr9:uid="{E4B94064-3BD3-4B61-9DA3-8CF9BE6D64AC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9966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0CDC2-56F1-49C5-B8B9-78B27DB1E38A}">
  <dimension ref="A1:ALT56"/>
  <sheetViews>
    <sheetView tabSelected="1" zoomScale="85" zoomScaleNormal="85" workbookViewId="0">
      <selection activeCell="H16" sqref="H16:I30"/>
    </sheetView>
  </sheetViews>
  <sheetFormatPr defaultColWidth="8.88671875" defaultRowHeight="15.6"/>
  <cols>
    <col min="1" max="1" width="16.109375" style="8" customWidth="1"/>
    <col min="2" max="2" width="10.33203125" style="8" customWidth="1"/>
    <col min="3" max="3" width="9" style="8" customWidth="1"/>
    <col min="4" max="4" width="10.109375" style="8" customWidth="1"/>
    <col min="5" max="5" width="10.33203125" style="8" customWidth="1"/>
    <col min="6" max="6" width="9.21875" style="8" customWidth="1"/>
    <col min="7" max="7" width="9" style="8" customWidth="1"/>
    <col min="8" max="8" width="15.6640625" style="8" customWidth="1"/>
    <col min="9" max="9" width="10" style="8" customWidth="1"/>
    <col min="10" max="10" width="9.44140625" style="8" bestFit="1" customWidth="1"/>
    <col min="11" max="1004" width="9" style="8" customWidth="1"/>
    <col min="1005" max="16384" width="8.88671875" style="35"/>
  </cols>
  <sheetData>
    <row r="1" spans="1:12" s="4" customFormat="1" ht="21">
      <c r="A1" s="148" t="s">
        <v>27</v>
      </c>
      <c r="B1" s="148"/>
      <c r="C1" s="148"/>
      <c r="D1" s="148"/>
      <c r="E1" s="148"/>
      <c r="F1" s="148"/>
      <c r="G1" s="148"/>
      <c r="H1" s="1" t="s">
        <v>172</v>
      </c>
      <c r="I1" s="2" t="s">
        <v>119</v>
      </c>
      <c r="J1" s="3"/>
    </row>
    <row r="2" spans="1:12" s="4" customFormat="1" ht="13.2" customHeight="1">
      <c r="A2" s="75"/>
      <c r="B2" s="75"/>
      <c r="C2" s="75"/>
      <c r="D2" s="75"/>
      <c r="E2" s="75"/>
      <c r="F2" s="75"/>
      <c r="G2" s="75"/>
      <c r="H2" s="1"/>
      <c r="I2" s="2"/>
      <c r="J2" s="3"/>
    </row>
    <row r="3" spans="1:12" s="6" customFormat="1" ht="15">
      <c r="A3" s="5" t="s">
        <v>117</v>
      </c>
      <c r="B3" s="4"/>
      <c r="C3" s="4" t="s">
        <v>118</v>
      </c>
      <c r="D3" s="4"/>
      <c r="E3" s="4"/>
      <c r="H3" s="6" t="s">
        <v>28</v>
      </c>
      <c r="I3" s="76">
        <v>46006</v>
      </c>
    </row>
    <row r="4" spans="1:12" s="6" customFormat="1" ht="13.8">
      <c r="E4" s="7"/>
      <c r="I4" s="74"/>
    </row>
    <row r="5" spans="1:12" s="8" customFormat="1" ht="13.8">
      <c r="A5" s="8" t="s">
        <v>29</v>
      </c>
      <c r="B5" s="9" t="s">
        <v>177</v>
      </c>
      <c r="F5" s="10"/>
    </row>
    <row r="6" spans="1:12" s="8" customFormat="1" ht="13.8">
      <c r="B6" s="11"/>
      <c r="F6" s="12"/>
    </row>
    <row r="7" spans="1:12" s="8" customFormat="1" ht="13.8">
      <c r="A7" s="8" t="s">
        <v>31</v>
      </c>
      <c r="B7" s="8" t="s">
        <v>32</v>
      </c>
      <c r="K7" s="178"/>
    </row>
    <row r="8" spans="1:12" s="8" customFormat="1" ht="13.8">
      <c r="B8" s="8" t="s">
        <v>33</v>
      </c>
      <c r="J8" s="178"/>
      <c r="K8" s="178"/>
      <c r="L8" s="178"/>
    </row>
    <row r="9" spans="1:12" s="8" customFormat="1" ht="13.8">
      <c r="J9" s="178"/>
      <c r="K9" s="178"/>
      <c r="L9" s="178"/>
    </row>
    <row r="10" spans="1:12" s="8" customFormat="1" ht="13.8">
      <c r="A10" s="8" t="s">
        <v>34</v>
      </c>
      <c r="B10" s="8" t="s">
        <v>97</v>
      </c>
      <c r="H10" s="6"/>
      <c r="J10" s="178"/>
      <c r="K10" s="178"/>
      <c r="L10" s="178"/>
    </row>
    <row r="11" spans="1:12" s="8" customFormat="1" ht="13.8">
      <c r="B11" s="8" t="s">
        <v>99</v>
      </c>
      <c r="J11" s="178"/>
      <c r="K11" s="178"/>
      <c r="L11" s="178"/>
    </row>
    <row r="12" spans="1:12" s="8" customFormat="1" ht="13.8">
      <c r="B12" s="8" t="s">
        <v>100</v>
      </c>
    </row>
    <row r="13" spans="1:12" s="8" customFormat="1" ht="13.8"/>
    <row r="14" spans="1:12" s="8" customFormat="1" ht="13.8">
      <c r="A14" s="8" t="s">
        <v>35</v>
      </c>
      <c r="B14" s="8" t="s">
        <v>116</v>
      </c>
      <c r="D14" s="1" t="s">
        <v>36</v>
      </c>
      <c r="E14" s="8" t="s">
        <v>98</v>
      </c>
    </row>
    <row r="15" spans="1:12" s="8" customFormat="1" ht="13.8"/>
    <row r="16" spans="1:12" s="8" customFormat="1" ht="15">
      <c r="A16" s="12" t="s">
        <v>37</v>
      </c>
      <c r="B16" s="12"/>
      <c r="C16" s="12" t="s">
        <v>120</v>
      </c>
      <c r="H16" s="179"/>
      <c r="I16" s="184" t="s">
        <v>173</v>
      </c>
    </row>
    <row r="17" spans="1:15" s="8" customFormat="1" ht="13.95" customHeight="1">
      <c r="A17" s="8" t="s">
        <v>3</v>
      </c>
      <c r="C17" s="8" t="s">
        <v>171</v>
      </c>
      <c r="E17" s="13"/>
      <c r="H17" s="185" t="s">
        <v>39</v>
      </c>
      <c r="I17" s="186">
        <v>8052.66</v>
      </c>
      <c r="M17" s="14"/>
      <c r="N17" s="14"/>
      <c r="O17" s="14"/>
    </row>
    <row r="18" spans="1:15" s="8" customFormat="1" ht="13.8">
      <c r="A18" s="8" t="s">
        <v>4</v>
      </c>
      <c r="C18" s="179" t="s">
        <v>184</v>
      </c>
      <c r="D18" s="180" t="s">
        <v>185</v>
      </c>
      <c r="E18" s="181" t="s">
        <v>181</v>
      </c>
      <c r="F18" s="180" t="s">
        <v>186</v>
      </c>
      <c r="G18" s="180" t="s">
        <v>178</v>
      </c>
      <c r="H18" s="185" t="s">
        <v>40</v>
      </c>
      <c r="I18" s="186">
        <v>65.040000000000006</v>
      </c>
      <c r="K18" s="15"/>
      <c r="L18" s="16"/>
      <c r="M18" s="17"/>
      <c r="N18" s="14"/>
    </row>
    <row r="19" spans="1:15" s="8" customFormat="1" ht="13.8">
      <c r="A19" s="8" t="s">
        <v>6</v>
      </c>
      <c r="C19" s="179"/>
      <c r="D19" s="182" t="s">
        <v>179</v>
      </c>
      <c r="E19" s="181" t="s">
        <v>180</v>
      </c>
      <c r="F19" s="183">
        <v>1534</v>
      </c>
      <c r="G19" s="180">
        <v>1536</v>
      </c>
      <c r="H19" s="185" t="s">
        <v>41</v>
      </c>
      <c r="I19" s="187">
        <v>7119</v>
      </c>
      <c r="L19" s="18"/>
    </row>
    <row r="20" spans="1:15" s="8" customFormat="1" ht="13.8">
      <c r="A20" s="8" t="s">
        <v>7</v>
      </c>
      <c r="C20" s="9"/>
      <c r="F20" s="12"/>
      <c r="H20" s="185" t="s">
        <v>38</v>
      </c>
      <c r="I20" s="187">
        <v>894</v>
      </c>
    </row>
    <row r="21" spans="1:15" s="8" customFormat="1" ht="15">
      <c r="A21" s="8" t="s">
        <v>8</v>
      </c>
      <c r="C21" s="20"/>
      <c r="E21" s="13"/>
      <c r="H21" s="179"/>
      <c r="I21" s="188" t="s">
        <v>174</v>
      </c>
      <c r="J21" s="19"/>
    </row>
    <row r="22" spans="1:15" s="8" customFormat="1" ht="13.8">
      <c r="E22" s="13"/>
      <c r="H22" s="185" t="s">
        <v>39</v>
      </c>
      <c r="I22" s="186">
        <v>8052.66</v>
      </c>
    </row>
    <row r="23" spans="1:15" s="8" customFormat="1" ht="13.8">
      <c r="C23" s="8" t="s">
        <v>42</v>
      </c>
      <c r="E23" s="13"/>
      <c r="H23" s="185" t="s">
        <v>40</v>
      </c>
      <c r="I23" s="186">
        <v>65.040000000000006</v>
      </c>
    </row>
    <row r="24" spans="1:15" s="8" customFormat="1" ht="13.8">
      <c r="A24" s="19"/>
      <c r="H24" s="185" t="s">
        <v>41</v>
      </c>
      <c r="I24" s="187">
        <v>7119</v>
      </c>
      <c r="J24" s="19"/>
    </row>
    <row r="25" spans="1:15" s="8" customFormat="1" ht="13.8">
      <c r="C25" s="8" t="s">
        <v>175</v>
      </c>
      <c r="H25" s="185" t="s">
        <v>38</v>
      </c>
      <c r="I25" s="187">
        <v>894</v>
      </c>
      <c r="J25" s="19"/>
    </row>
    <row r="26" spans="1:15" s="8" customFormat="1" ht="14.4">
      <c r="A26" s="19"/>
      <c r="C26" s="8" t="s">
        <v>176</v>
      </c>
      <c r="H26" s="179"/>
      <c r="I26" s="189" t="s">
        <v>182</v>
      </c>
      <c r="J26" s="19"/>
    </row>
    <row r="27" spans="1:15" s="8" customFormat="1" ht="13.8">
      <c r="H27" s="185" t="s">
        <v>39</v>
      </c>
      <c r="I27" s="186">
        <v>8052.66</v>
      </c>
      <c r="J27" s="19"/>
    </row>
    <row r="28" spans="1:15" s="8" customFormat="1" ht="13.8">
      <c r="A28" s="8" t="s">
        <v>43</v>
      </c>
      <c r="B28" s="76">
        <v>46021</v>
      </c>
      <c r="C28" s="21"/>
      <c r="E28" s="1" t="s">
        <v>44</v>
      </c>
      <c r="F28" s="12" t="s">
        <v>45</v>
      </c>
      <c r="H28" s="185" t="s">
        <v>40</v>
      </c>
      <c r="I28" s="186">
        <v>65.040000000000006</v>
      </c>
      <c r="J28" s="19"/>
    </row>
    <row r="29" spans="1:15" s="8" customFormat="1" ht="13.8">
      <c r="A29" s="19" t="s">
        <v>46</v>
      </c>
      <c r="B29" s="19" t="s">
        <v>121</v>
      </c>
      <c r="C29" s="12"/>
      <c r="H29" s="185" t="s">
        <v>41</v>
      </c>
      <c r="I29" s="187">
        <v>7119</v>
      </c>
      <c r="J29" s="19"/>
    </row>
    <row r="30" spans="1:15" s="8" customFormat="1" ht="13.8">
      <c r="H30" s="185" t="s">
        <v>38</v>
      </c>
      <c r="I30" s="187">
        <v>894</v>
      </c>
      <c r="J30" s="19"/>
    </row>
    <row r="31" spans="1:15" s="8" customFormat="1" ht="13.8">
      <c r="A31" s="8" t="s">
        <v>47</v>
      </c>
      <c r="B31" s="22" t="s">
        <v>48</v>
      </c>
      <c r="J31" s="19"/>
    </row>
    <row r="32" spans="1:15" s="8" customFormat="1" ht="13.8">
      <c r="B32" s="23" t="s">
        <v>49</v>
      </c>
      <c r="J32" s="19"/>
    </row>
    <row r="33" spans="1:10" s="8" customFormat="1" ht="13.8">
      <c r="B33" s="24" t="s">
        <v>50</v>
      </c>
      <c r="J33" s="19"/>
    </row>
    <row r="34" spans="1:10" s="8" customFormat="1" ht="13.8">
      <c r="B34" s="24" t="s">
        <v>51</v>
      </c>
      <c r="J34" s="19"/>
    </row>
    <row r="35" spans="1:10" s="8" customFormat="1" ht="13.8">
      <c r="B35" s="24" t="s">
        <v>52</v>
      </c>
    </row>
    <row r="36" spans="1:10" s="8" customFormat="1" ht="13.8">
      <c r="B36" s="24"/>
    </row>
    <row r="37" spans="1:10" s="24" customFormat="1">
      <c r="A37" s="25" t="s">
        <v>183</v>
      </c>
      <c r="B37" s="144" t="s">
        <v>173</v>
      </c>
      <c r="C37" s="81" t="s">
        <v>145</v>
      </c>
      <c r="D37" s="77"/>
      <c r="E37" s="77"/>
      <c r="F37" s="77"/>
      <c r="G37" s="78"/>
    </row>
    <row r="38" spans="1:10" s="24" customFormat="1">
      <c r="A38" s="25"/>
      <c r="B38" s="79" t="s">
        <v>146</v>
      </c>
      <c r="C38" s="80"/>
      <c r="D38" s="80"/>
      <c r="E38" s="80"/>
      <c r="F38" s="80"/>
      <c r="G38" s="80"/>
      <c r="H38" s="28"/>
    </row>
    <row r="39" spans="1:10" s="24" customFormat="1">
      <c r="A39" s="25"/>
      <c r="B39" s="79" t="s">
        <v>147</v>
      </c>
      <c r="C39" s="80"/>
      <c r="D39" s="80"/>
      <c r="E39" s="80"/>
      <c r="F39" s="80"/>
      <c r="G39" s="80"/>
      <c r="H39" s="28"/>
    </row>
    <row r="40" spans="1:10" s="24" customFormat="1">
      <c r="A40" s="25"/>
      <c r="B40" s="79" t="s">
        <v>148</v>
      </c>
      <c r="C40" s="80"/>
      <c r="D40" s="80"/>
      <c r="E40" s="80"/>
      <c r="F40" s="79" t="s">
        <v>149</v>
      </c>
      <c r="G40" s="80"/>
      <c r="H40" s="28"/>
    </row>
    <row r="41" spans="1:10" s="24" customFormat="1">
      <c r="A41" s="32"/>
      <c r="B41" s="29"/>
      <c r="C41" s="29"/>
      <c r="D41" s="29"/>
      <c r="E41" s="29"/>
      <c r="F41" s="8"/>
      <c r="G41" s="33"/>
      <c r="H41" s="28"/>
    </row>
    <row r="42" spans="1:10" s="24" customFormat="1">
      <c r="A42" s="32"/>
      <c r="B42" s="145" t="s">
        <v>174</v>
      </c>
      <c r="C42" s="26"/>
      <c r="D42" s="26"/>
      <c r="E42" s="26"/>
      <c r="F42" s="27" t="s">
        <v>53</v>
      </c>
      <c r="H42" s="28"/>
    </row>
    <row r="43" spans="1:10" s="24" customFormat="1">
      <c r="A43" s="32"/>
      <c r="B43" s="29" t="s">
        <v>57</v>
      </c>
      <c r="C43" s="29"/>
      <c r="D43" s="29"/>
      <c r="E43" s="29"/>
      <c r="F43" s="30" t="s">
        <v>55</v>
      </c>
      <c r="H43" s="28"/>
    </row>
    <row r="44" spans="1:10" s="24" customFormat="1">
      <c r="A44" s="32"/>
      <c r="B44" s="29" t="s">
        <v>58</v>
      </c>
      <c r="C44" s="29"/>
      <c r="D44" s="29"/>
      <c r="E44" s="29"/>
      <c r="F44" s="8"/>
      <c r="H44" s="28"/>
    </row>
    <row r="45" spans="1:10" s="24" customFormat="1">
      <c r="A45" s="32"/>
      <c r="B45" s="29" t="s">
        <v>54</v>
      </c>
      <c r="C45" s="29"/>
      <c r="D45" s="29"/>
      <c r="E45" s="29"/>
      <c r="F45" s="8"/>
      <c r="G45" s="31"/>
      <c r="H45" s="28"/>
    </row>
    <row r="46" spans="1:10" s="24" customFormat="1">
      <c r="A46" s="32"/>
      <c r="B46" s="29" t="s">
        <v>56</v>
      </c>
      <c r="C46" s="29"/>
      <c r="D46" s="29"/>
      <c r="E46" s="29"/>
      <c r="F46" s="8"/>
      <c r="G46" s="33"/>
      <c r="H46" s="28"/>
    </row>
    <row r="47" spans="1:10" s="24" customFormat="1">
      <c r="A47" s="32"/>
      <c r="B47" s="29"/>
      <c r="C47" s="29"/>
      <c r="D47" s="29"/>
      <c r="E47" s="29"/>
      <c r="F47" s="8"/>
      <c r="G47" s="33"/>
      <c r="H47" s="28"/>
    </row>
    <row r="48" spans="1:10" s="8" customFormat="1" ht="15">
      <c r="A48" s="69" t="s">
        <v>101</v>
      </c>
      <c r="B48" s="69" t="s">
        <v>102</v>
      </c>
      <c r="C48" s="34"/>
      <c r="D48" s="34"/>
      <c r="E48" s="34"/>
      <c r="F48" s="34"/>
      <c r="G48" s="34"/>
      <c r="H48" s="70"/>
      <c r="I48" s="70"/>
    </row>
    <row r="49" spans="1:1008">
      <c r="A49" s="69" t="s">
        <v>103</v>
      </c>
      <c r="B49" s="69" t="s">
        <v>104</v>
      </c>
      <c r="C49" s="34"/>
      <c r="D49" s="34"/>
      <c r="E49" s="34"/>
      <c r="F49" s="34"/>
      <c r="G49" s="34"/>
      <c r="H49" s="70"/>
      <c r="I49" s="70"/>
      <c r="ALQ49" s="8"/>
      <c r="ALR49" s="8"/>
      <c r="ALS49" s="8"/>
      <c r="ALT49" s="8"/>
    </row>
    <row r="50" spans="1:1008" s="8" customFormat="1" ht="15">
      <c r="A50" s="69" t="s">
        <v>105</v>
      </c>
      <c r="B50" s="69" t="s">
        <v>106</v>
      </c>
      <c r="C50" s="71" t="s">
        <v>107</v>
      </c>
      <c r="D50" s="69" t="s">
        <v>108</v>
      </c>
      <c r="E50" s="69" t="s">
        <v>109</v>
      </c>
      <c r="F50" s="34" t="s">
        <v>110</v>
      </c>
      <c r="G50" s="70"/>
      <c r="H50" s="70"/>
      <c r="I50" s="70"/>
    </row>
    <row r="51" spans="1:1008" s="8" customFormat="1" ht="16.2">
      <c r="A51" s="34"/>
      <c r="B51" s="71"/>
      <c r="C51" s="36" t="s">
        <v>59</v>
      </c>
      <c r="D51" s="72"/>
      <c r="E51" s="70"/>
      <c r="F51" s="72"/>
      <c r="G51" s="34"/>
      <c r="H51" s="70"/>
      <c r="I51" s="70"/>
    </row>
    <row r="52" spans="1:1008" s="8" customFormat="1" ht="15">
      <c r="A52" s="73"/>
      <c r="B52" s="71"/>
      <c r="C52" s="36"/>
      <c r="D52" s="139"/>
      <c r="E52" s="70"/>
      <c r="F52" s="139"/>
      <c r="G52" s="34"/>
      <c r="H52" s="70"/>
      <c r="I52" s="70"/>
    </row>
    <row r="53" spans="1:1008" s="8" customFormat="1" ht="15">
      <c r="A53" s="140"/>
      <c r="B53" s="140"/>
      <c r="C53" s="141" t="s">
        <v>165</v>
      </c>
      <c r="D53" s="141" t="s">
        <v>166</v>
      </c>
      <c r="E53" s="141" t="s">
        <v>167</v>
      </c>
      <c r="F53" s="34"/>
      <c r="G53" s="34"/>
    </row>
    <row r="54" spans="1:1008" s="8" customFormat="1" ht="15">
      <c r="A54" s="34" t="s">
        <v>168</v>
      </c>
      <c r="B54" s="34"/>
      <c r="C54" s="142" t="s">
        <v>60</v>
      </c>
      <c r="D54" s="36"/>
      <c r="E54" s="36"/>
      <c r="F54" s="34"/>
      <c r="G54" s="34"/>
    </row>
    <row r="55" spans="1:1008" s="8" customFormat="1" ht="15">
      <c r="A55" s="143" t="s">
        <v>169</v>
      </c>
      <c r="B55" s="143"/>
      <c r="C55" s="142" t="s">
        <v>60</v>
      </c>
      <c r="D55" s="142"/>
      <c r="E55" s="142"/>
      <c r="F55" s="34"/>
      <c r="G55" s="34"/>
    </row>
    <row r="56" spans="1:1008" s="8" customFormat="1" ht="15">
      <c r="A56" s="143" t="s">
        <v>170</v>
      </c>
      <c r="B56" s="143"/>
      <c r="C56" s="142" t="s">
        <v>60</v>
      </c>
      <c r="D56" s="142"/>
      <c r="E56" s="142"/>
      <c r="F56" s="34"/>
      <c r="G56" s="34"/>
    </row>
  </sheetData>
  <mergeCells count="1">
    <mergeCell ref="A1:G1"/>
  </mergeCells>
  <phoneticPr fontId="12" type="noConversion"/>
  <printOptions horizontalCentered="1"/>
  <pageMargins left="0" right="0" top="0" bottom="0" header="0" footer="0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89E9E-E7C3-4042-B00C-CD3E5AC240CB}">
  <dimension ref="A1:M47"/>
  <sheetViews>
    <sheetView topLeftCell="A9" zoomScaleNormal="100" workbookViewId="0">
      <selection activeCell="B4" sqref="B4"/>
    </sheetView>
  </sheetViews>
  <sheetFormatPr defaultColWidth="9.109375" defaultRowHeight="13.2"/>
  <cols>
    <col min="1" max="1" width="50.44140625" style="37" customWidth="1"/>
    <col min="2" max="2" width="50" style="37" customWidth="1"/>
    <col min="3" max="3" width="9.109375" style="37" hidden="1" customWidth="1"/>
    <col min="4" max="4" width="12" style="37" bestFit="1" customWidth="1"/>
    <col min="5" max="256" width="9.109375" style="37"/>
    <col min="257" max="257" width="50.44140625" style="37" customWidth="1"/>
    <col min="258" max="258" width="50" style="37" customWidth="1"/>
    <col min="259" max="259" width="0" style="37" hidden="1" customWidth="1"/>
    <col min="260" max="260" width="12" style="37" bestFit="1" customWidth="1"/>
    <col min="261" max="512" width="9.109375" style="37"/>
    <col min="513" max="513" width="50.44140625" style="37" customWidth="1"/>
    <col min="514" max="514" width="50" style="37" customWidth="1"/>
    <col min="515" max="515" width="0" style="37" hidden="1" customWidth="1"/>
    <col min="516" max="516" width="12" style="37" bestFit="1" customWidth="1"/>
    <col min="517" max="768" width="9.109375" style="37"/>
    <col min="769" max="769" width="50.44140625" style="37" customWidth="1"/>
    <col min="770" max="770" width="50" style="37" customWidth="1"/>
    <col min="771" max="771" width="0" style="37" hidden="1" customWidth="1"/>
    <col min="772" max="772" width="12" style="37" bestFit="1" customWidth="1"/>
    <col min="773" max="1024" width="9.109375" style="37"/>
    <col min="1025" max="1025" width="50.44140625" style="37" customWidth="1"/>
    <col min="1026" max="1026" width="50" style="37" customWidth="1"/>
    <col min="1027" max="1027" width="0" style="37" hidden="1" customWidth="1"/>
    <col min="1028" max="1028" width="12" style="37" bestFit="1" customWidth="1"/>
    <col min="1029" max="1280" width="9.109375" style="37"/>
    <col min="1281" max="1281" width="50.44140625" style="37" customWidth="1"/>
    <col min="1282" max="1282" width="50" style="37" customWidth="1"/>
    <col min="1283" max="1283" width="0" style="37" hidden="1" customWidth="1"/>
    <col min="1284" max="1284" width="12" style="37" bestFit="1" customWidth="1"/>
    <col min="1285" max="1536" width="9.109375" style="37"/>
    <col min="1537" max="1537" width="50.44140625" style="37" customWidth="1"/>
    <col min="1538" max="1538" width="50" style="37" customWidth="1"/>
    <col min="1539" max="1539" width="0" style="37" hidden="1" customWidth="1"/>
    <col min="1540" max="1540" width="12" style="37" bestFit="1" customWidth="1"/>
    <col min="1541" max="1792" width="9.109375" style="37"/>
    <col min="1793" max="1793" width="50.44140625" style="37" customWidth="1"/>
    <col min="1794" max="1794" width="50" style="37" customWidth="1"/>
    <col min="1795" max="1795" width="0" style="37" hidden="1" customWidth="1"/>
    <col min="1796" max="1796" width="12" style="37" bestFit="1" customWidth="1"/>
    <col min="1797" max="2048" width="9.109375" style="37"/>
    <col min="2049" max="2049" width="50.44140625" style="37" customWidth="1"/>
    <col min="2050" max="2050" width="50" style="37" customWidth="1"/>
    <col min="2051" max="2051" width="0" style="37" hidden="1" customWidth="1"/>
    <col min="2052" max="2052" width="12" style="37" bestFit="1" customWidth="1"/>
    <col min="2053" max="2304" width="9.109375" style="37"/>
    <col min="2305" max="2305" width="50.44140625" style="37" customWidth="1"/>
    <col min="2306" max="2306" width="50" style="37" customWidth="1"/>
    <col min="2307" max="2307" width="0" style="37" hidden="1" customWidth="1"/>
    <col min="2308" max="2308" width="12" style="37" bestFit="1" customWidth="1"/>
    <col min="2309" max="2560" width="9.109375" style="37"/>
    <col min="2561" max="2561" width="50.44140625" style="37" customWidth="1"/>
    <col min="2562" max="2562" width="50" style="37" customWidth="1"/>
    <col min="2563" max="2563" width="0" style="37" hidden="1" customWidth="1"/>
    <col min="2564" max="2564" width="12" style="37" bestFit="1" customWidth="1"/>
    <col min="2565" max="2816" width="9.109375" style="37"/>
    <col min="2817" max="2817" width="50.44140625" style="37" customWidth="1"/>
    <col min="2818" max="2818" width="50" style="37" customWidth="1"/>
    <col min="2819" max="2819" width="0" style="37" hidden="1" customWidth="1"/>
    <col min="2820" max="2820" width="12" style="37" bestFit="1" customWidth="1"/>
    <col min="2821" max="3072" width="9.109375" style="37"/>
    <col min="3073" max="3073" width="50.44140625" style="37" customWidth="1"/>
    <col min="3074" max="3074" width="50" style="37" customWidth="1"/>
    <col min="3075" max="3075" width="0" style="37" hidden="1" customWidth="1"/>
    <col min="3076" max="3076" width="12" style="37" bestFit="1" customWidth="1"/>
    <col min="3077" max="3328" width="9.109375" style="37"/>
    <col min="3329" max="3329" width="50.44140625" style="37" customWidth="1"/>
    <col min="3330" max="3330" width="50" style="37" customWidth="1"/>
    <col min="3331" max="3331" width="0" style="37" hidden="1" customWidth="1"/>
    <col min="3332" max="3332" width="12" style="37" bestFit="1" customWidth="1"/>
    <col min="3333" max="3584" width="9.109375" style="37"/>
    <col min="3585" max="3585" width="50.44140625" style="37" customWidth="1"/>
    <col min="3586" max="3586" width="50" style="37" customWidth="1"/>
    <col min="3587" max="3587" width="0" style="37" hidden="1" customWidth="1"/>
    <col min="3588" max="3588" width="12" style="37" bestFit="1" customWidth="1"/>
    <col min="3589" max="3840" width="9.109375" style="37"/>
    <col min="3841" max="3841" width="50.44140625" style="37" customWidth="1"/>
    <col min="3842" max="3842" width="50" style="37" customWidth="1"/>
    <col min="3843" max="3843" width="0" style="37" hidden="1" customWidth="1"/>
    <col min="3844" max="3844" width="12" style="37" bestFit="1" customWidth="1"/>
    <col min="3845" max="4096" width="9.109375" style="37"/>
    <col min="4097" max="4097" width="50.44140625" style="37" customWidth="1"/>
    <col min="4098" max="4098" width="50" style="37" customWidth="1"/>
    <col min="4099" max="4099" width="0" style="37" hidden="1" customWidth="1"/>
    <col min="4100" max="4100" width="12" style="37" bestFit="1" customWidth="1"/>
    <col min="4101" max="4352" width="9.109375" style="37"/>
    <col min="4353" max="4353" width="50.44140625" style="37" customWidth="1"/>
    <col min="4354" max="4354" width="50" style="37" customWidth="1"/>
    <col min="4355" max="4355" width="0" style="37" hidden="1" customWidth="1"/>
    <col min="4356" max="4356" width="12" style="37" bestFit="1" customWidth="1"/>
    <col min="4357" max="4608" width="9.109375" style="37"/>
    <col min="4609" max="4609" width="50.44140625" style="37" customWidth="1"/>
    <col min="4610" max="4610" width="50" style="37" customWidth="1"/>
    <col min="4611" max="4611" width="0" style="37" hidden="1" customWidth="1"/>
    <col min="4612" max="4612" width="12" style="37" bestFit="1" customWidth="1"/>
    <col min="4613" max="4864" width="9.109375" style="37"/>
    <col min="4865" max="4865" width="50.44140625" style="37" customWidth="1"/>
    <col min="4866" max="4866" width="50" style="37" customWidth="1"/>
    <col min="4867" max="4867" width="0" style="37" hidden="1" customWidth="1"/>
    <col min="4868" max="4868" width="12" style="37" bestFit="1" customWidth="1"/>
    <col min="4869" max="5120" width="9.109375" style="37"/>
    <col min="5121" max="5121" width="50.44140625" style="37" customWidth="1"/>
    <col min="5122" max="5122" width="50" style="37" customWidth="1"/>
    <col min="5123" max="5123" width="0" style="37" hidden="1" customWidth="1"/>
    <col min="5124" max="5124" width="12" style="37" bestFit="1" customWidth="1"/>
    <col min="5125" max="5376" width="9.109375" style="37"/>
    <col min="5377" max="5377" width="50.44140625" style="37" customWidth="1"/>
    <col min="5378" max="5378" width="50" style="37" customWidth="1"/>
    <col min="5379" max="5379" width="0" style="37" hidden="1" customWidth="1"/>
    <col min="5380" max="5380" width="12" style="37" bestFit="1" customWidth="1"/>
    <col min="5381" max="5632" width="9.109375" style="37"/>
    <col min="5633" max="5633" width="50.44140625" style="37" customWidth="1"/>
    <col min="5634" max="5634" width="50" style="37" customWidth="1"/>
    <col min="5635" max="5635" width="0" style="37" hidden="1" customWidth="1"/>
    <col min="5636" max="5636" width="12" style="37" bestFit="1" customWidth="1"/>
    <col min="5637" max="5888" width="9.109375" style="37"/>
    <col min="5889" max="5889" width="50.44140625" style="37" customWidth="1"/>
    <col min="5890" max="5890" width="50" style="37" customWidth="1"/>
    <col min="5891" max="5891" width="0" style="37" hidden="1" customWidth="1"/>
    <col min="5892" max="5892" width="12" style="37" bestFit="1" customWidth="1"/>
    <col min="5893" max="6144" width="9.109375" style="37"/>
    <col min="6145" max="6145" width="50.44140625" style="37" customWidth="1"/>
    <col min="6146" max="6146" width="50" style="37" customWidth="1"/>
    <col min="6147" max="6147" width="0" style="37" hidden="1" customWidth="1"/>
    <col min="6148" max="6148" width="12" style="37" bestFit="1" customWidth="1"/>
    <col min="6149" max="6400" width="9.109375" style="37"/>
    <col min="6401" max="6401" width="50.44140625" style="37" customWidth="1"/>
    <col min="6402" max="6402" width="50" style="37" customWidth="1"/>
    <col min="6403" max="6403" width="0" style="37" hidden="1" customWidth="1"/>
    <col min="6404" max="6404" width="12" style="37" bestFit="1" customWidth="1"/>
    <col min="6405" max="6656" width="9.109375" style="37"/>
    <col min="6657" max="6657" width="50.44140625" style="37" customWidth="1"/>
    <col min="6658" max="6658" width="50" style="37" customWidth="1"/>
    <col min="6659" max="6659" width="0" style="37" hidden="1" customWidth="1"/>
    <col min="6660" max="6660" width="12" style="37" bestFit="1" customWidth="1"/>
    <col min="6661" max="6912" width="9.109375" style="37"/>
    <col min="6913" max="6913" width="50.44140625" style="37" customWidth="1"/>
    <col min="6914" max="6914" width="50" style="37" customWidth="1"/>
    <col min="6915" max="6915" width="0" style="37" hidden="1" customWidth="1"/>
    <col min="6916" max="6916" width="12" style="37" bestFit="1" customWidth="1"/>
    <col min="6917" max="7168" width="9.109375" style="37"/>
    <col min="7169" max="7169" width="50.44140625" style="37" customWidth="1"/>
    <col min="7170" max="7170" width="50" style="37" customWidth="1"/>
    <col min="7171" max="7171" width="0" style="37" hidden="1" customWidth="1"/>
    <col min="7172" max="7172" width="12" style="37" bestFit="1" customWidth="1"/>
    <col min="7173" max="7424" width="9.109375" style="37"/>
    <col min="7425" max="7425" width="50.44140625" style="37" customWidth="1"/>
    <col min="7426" max="7426" width="50" style="37" customWidth="1"/>
    <col min="7427" max="7427" width="0" style="37" hidden="1" customWidth="1"/>
    <col min="7428" max="7428" width="12" style="37" bestFit="1" customWidth="1"/>
    <col min="7429" max="7680" width="9.109375" style="37"/>
    <col min="7681" max="7681" width="50.44140625" style="37" customWidth="1"/>
    <col min="7682" max="7682" width="50" style="37" customWidth="1"/>
    <col min="7683" max="7683" width="0" style="37" hidden="1" customWidth="1"/>
    <col min="7684" max="7684" width="12" style="37" bestFit="1" customWidth="1"/>
    <col min="7685" max="7936" width="9.109375" style="37"/>
    <col min="7937" max="7937" width="50.44140625" style="37" customWidth="1"/>
    <col min="7938" max="7938" width="50" style="37" customWidth="1"/>
    <col min="7939" max="7939" width="0" style="37" hidden="1" customWidth="1"/>
    <col min="7940" max="7940" width="12" style="37" bestFit="1" customWidth="1"/>
    <col min="7941" max="8192" width="9.109375" style="37"/>
    <col min="8193" max="8193" width="50.44140625" style="37" customWidth="1"/>
    <col min="8194" max="8194" width="50" style="37" customWidth="1"/>
    <col min="8195" max="8195" width="0" style="37" hidden="1" customWidth="1"/>
    <col min="8196" max="8196" width="12" style="37" bestFit="1" customWidth="1"/>
    <col min="8197" max="8448" width="9.109375" style="37"/>
    <col min="8449" max="8449" width="50.44140625" style="37" customWidth="1"/>
    <col min="8450" max="8450" width="50" style="37" customWidth="1"/>
    <col min="8451" max="8451" width="0" style="37" hidden="1" customWidth="1"/>
    <col min="8452" max="8452" width="12" style="37" bestFit="1" customWidth="1"/>
    <col min="8453" max="8704" width="9.109375" style="37"/>
    <col min="8705" max="8705" width="50.44140625" style="37" customWidth="1"/>
    <col min="8706" max="8706" width="50" style="37" customWidth="1"/>
    <col min="8707" max="8707" width="0" style="37" hidden="1" customWidth="1"/>
    <col min="8708" max="8708" width="12" style="37" bestFit="1" customWidth="1"/>
    <col min="8709" max="8960" width="9.109375" style="37"/>
    <col min="8961" max="8961" width="50.44140625" style="37" customWidth="1"/>
    <col min="8962" max="8962" width="50" style="37" customWidth="1"/>
    <col min="8963" max="8963" width="0" style="37" hidden="1" customWidth="1"/>
    <col min="8964" max="8964" width="12" style="37" bestFit="1" customWidth="1"/>
    <col min="8965" max="9216" width="9.109375" style="37"/>
    <col min="9217" max="9217" width="50.44140625" style="37" customWidth="1"/>
    <col min="9218" max="9218" width="50" style="37" customWidth="1"/>
    <col min="9219" max="9219" width="0" style="37" hidden="1" customWidth="1"/>
    <col min="9220" max="9220" width="12" style="37" bestFit="1" customWidth="1"/>
    <col min="9221" max="9472" width="9.109375" style="37"/>
    <col min="9473" max="9473" width="50.44140625" style="37" customWidth="1"/>
    <col min="9474" max="9474" width="50" style="37" customWidth="1"/>
    <col min="9475" max="9475" width="0" style="37" hidden="1" customWidth="1"/>
    <col min="9476" max="9476" width="12" style="37" bestFit="1" customWidth="1"/>
    <col min="9477" max="9728" width="9.109375" style="37"/>
    <col min="9729" max="9729" width="50.44140625" style="37" customWidth="1"/>
    <col min="9730" max="9730" width="50" style="37" customWidth="1"/>
    <col min="9731" max="9731" width="0" style="37" hidden="1" customWidth="1"/>
    <col min="9732" max="9732" width="12" style="37" bestFit="1" customWidth="1"/>
    <col min="9733" max="9984" width="9.109375" style="37"/>
    <col min="9985" max="9985" width="50.44140625" style="37" customWidth="1"/>
    <col min="9986" max="9986" width="50" style="37" customWidth="1"/>
    <col min="9987" max="9987" width="0" style="37" hidden="1" customWidth="1"/>
    <col min="9988" max="9988" width="12" style="37" bestFit="1" customWidth="1"/>
    <col min="9989" max="10240" width="9.109375" style="37"/>
    <col min="10241" max="10241" width="50.44140625" style="37" customWidth="1"/>
    <col min="10242" max="10242" width="50" style="37" customWidth="1"/>
    <col min="10243" max="10243" width="0" style="37" hidden="1" customWidth="1"/>
    <col min="10244" max="10244" width="12" style="37" bestFit="1" customWidth="1"/>
    <col min="10245" max="10496" width="9.109375" style="37"/>
    <col min="10497" max="10497" width="50.44140625" style="37" customWidth="1"/>
    <col min="10498" max="10498" width="50" style="37" customWidth="1"/>
    <col min="10499" max="10499" width="0" style="37" hidden="1" customWidth="1"/>
    <col min="10500" max="10500" width="12" style="37" bestFit="1" customWidth="1"/>
    <col min="10501" max="10752" width="9.109375" style="37"/>
    <col min="10753" max="10753" width="50.44140625" style="37" customWidth="1"/>
    <col min="10754" max="10754" width="50" style="37" customWidth="1"/>
    <col min="10755" max="10755" width="0" style="37" hidden="1" customWidth="1"/>
    <col min="10756" max="10756" width="12" style="37" bestFit="1" customWidth="1"/>
    <col min="10757" max="11008" width="9.109375" style="37"/>
    <col min="11009" max="11009" width="50.44140625" style="37" customWidth="1"/>
    <col min="11010" max="11010" width="50" style="37" customWidth="1"/>
    <col min="11011" max="11011" width="0" style="37" hidden="1" customWidth="1"/>
    <col min="11012" max="11012" width="12" style="37" bestFit="1" customWidth="1"/>
    <col min="11013" max="11264" width="9.109375" style="37"/>
    <col min="11265" max="11265" width="50.44140625" style="37" customWidth="1"/>
    <col min="11266" max="11266" width="50" style="37" customWidth="1"/>
    <col min="11267" max="11267" width="0" style="37" hidden="1" customWidth="1"/>
    <col min="11268" max="11268" width="12" style="37" bestFit="1" customWidth="1"/>
    <col min="11269" max="11520" width="9.109375" style="37"/>
    <col min="11521" max="11521" width="50.44140625" style="37" customWidth="1"/>
    <col min="11522" max="11522" width="50" style="37" customWidth="1"/>
    <col min="11523" max="11523" width="0" style="37" hidden="1" customWidth="1"/>
    <col min="11524" max="11524" width="12" style="37" bestFit="1" customWidth="1"/>
    <col min="11525" max="11776" width="9.109375" style="37"/>
    <col min="11777" max="11777" width="50.44140625" style="37" customWidth="1"/>
    <col min="11778" max="11778" width="50" style="37" customWidth="1"/>
    <col min="11779" max="11779" width="0" style="37" hidden="1" customWidth="1"/>
    <col min="11780" max="11780" width="12" style="37" bestFit="1" customWidth="1"/>
    <col min="11781" max="12032" width="9.109375" style="37"/>
    <col min="12033" max="12033" width="50.44140625" style="37" customWidth="1"/>
    <col min="12034" max="12034" width="50" style="37" customWidth="1"/>
    <col min="12035" max="12035" width="0" style="37" hidden="1" customWidth="1"/>
    <col min="12036" max="12036" width="12" style="37" bestFit="1" customWidth="1"/>
    <col min="12037" max="12288" width="9.109375" style="37"/>
    <col min="12289" max="12289" width="50.44140625" style="37" customWidth="1"/>
    <col min="12290" max="12290" width="50" style="37" customWidth="1"/>
    <col min="12291" max="12291" width="0" style="37" hidden="1" customWidth="1"/>
    <col min="12292" max="12292" width="12" style="37" bestFit="1" customWidth="1"/>
    <col min="12293" max="12544" width="9.109375" style="37"/>
    <col min="12545" max="12545" width="50.44140625" style="37" customWidth="1"/>
    <col min="12546" max="12546" width="50" style="37" customWidth="1"/>
    <col min="12547" max="12547" width="0" style="37" hidden="1" customWidth="1"/>
    <col min="12548" max="12548" width="12" style="37" bestFit="1" customWidth="1"/>
    <col min="12549" max="12800" width="9.109375" style="37"/>
    <col min="12801" max="12801" width="50.44140625" style="37" customWidth="1"/>
    <col min="12802" max="12802" width="50" style="37" customWidth="1"/>
    <col min="12803" max="12803" width="0" style="37" hidden="1" customWidth="1"/>
    <col min="12804" max="12804" width="12" style="37" bestFit="1" customWidth="1"/>
    <col min="12805" max="13056" width="9.109375" style="37"/>
    <col min="13057" max="13057" width="50.44140625" style="37" customWidth="1"/>
    <col min="13058" max="13058" width="50" style="37" customWidth="1"/>
    <col min="13059" max="13059" width="0" style="37" hidden="1" customWidth="1"/>
    <col min="13060" max="13060" width="12" style="37" bestFit="1" customWidth="1"/>
    <col min="13061" max="13312" width="9.109375" style="37"/>
    <col min="13313" max="13313" width="50.44140625" style="37" customWidth="1"/>
    <col min="13314" max="13314" width="50" style="37" customWidth="1"/>
    <col min="13315" max="13315" width="0" style="37" hidden="1" customWidth="1"/>
    <col min="13316" max="13316" width="12" style="37" bestFit="1" customWidth="1"/>
    <col min="13317" max="13568" width="9.109375" style="37"/>
    <col min="13569" max="13569" width="50.44140625" style="37" customWidth="1"/>
    <col min="13570" max="13570" width="50" style="37" customWidth="1"/>
    <col min="13571" max="13571" width="0" style="37" hidden="1" customWidth="1"/>
    <col min="13572" max="13572" width="12" style="37" bestFit="1" customWidth="1"/>
    <col min="13573" max="13824" width="9.109375" style="37"/>
    <col min="13825" max="13825" width="50.44140625" style="37" customWidth="1"/>
    <col min="13826" max="13826" width="50" style="37" customWidth="1"/>
    <col min="13827" max="13827" width="0" style="37" hidden="1" customWidth="1"/>
    <col min="13828" max="13828" width="12" style="37" bestFit="1" customWidth="1"/>
    <col min="13829" max="14080" width="9.109375" style="37"/>
    <col min="14081" max="14081" width="50.44140625" style="37" customWidth="1"/>
    <col min="14082" max="14082" width="50" style="37" customWidth="1"/>
    <col min="14083" max="14083" width="0" style="37" hidden="1" customWidth="1"/>
    <col min="14084" max="14084" width="12" style="37" bestFit="1" customWidth="1"/>
    <col min="14085" max="14336" width="9.109375" style="37"/>
    <col min="14337" max="14337" width="50.44140625" style="37" customWidth="1"/>
    <col min="14338" max="14338" width="50" style="37" customWidth="1"/>
    <col min="14339" max="14339" width="0" style="37" hidden="1" customWidth="1"/>
    <col min="14340" max="14340" width="12" style="37" bestFit="1" customWidth="1"/>
    <col min="14341" max="14592" width="9.109375" style="37"/>
    <col min="14593" max="14593" width="50.44140625" style="37" customWidth="1"/>
    <col min="14594" max="14594" width="50" style="37" customWidth="1"/>
    <col min="14595" max="14595" width="0" style="37" hidden="1" customWidth="1"/>
    <col min="14596" max="14596" width="12" style="37" bestFit="1" customWidth="1"/>
    <col min="14597" max="14848" width="9.109375" style="37"/>
    <col min="14849" max="14849" width="50.44140625" style="37" customWidth="1"/>
    <col min="14850" max="14850" width="50" style="37" customWidth="1"/>
    <col min="14851" max="14851" width="0" style="37" hidden="1" customWidth="1"/>
    <col min="14852" max="14852" width="12" style="37" bestFit="1" customWidth="1"/>
    <col min="14853" max="15104" width="9.109375" style="37"/>
    <col min="15105" max="15105" width="50.44140625" style="37" customWidth="1"/>
    <col min="15106" max="15106" width="50" style="37" customWidth="1"/>
    <col min="15107" max="15107" width="0" style="37" hidden="1" customWidth="1"/>
    <col min="15108" max="15108" width="12" style="37" bestFit="1" customWidth="1"/>
    <col min="15109" max="15360" width="9.109375" style="37"/>
    <col min="15361" max="15361" width="50.44140625" style="37" customWidth="1"/>
    <col min="15362" max="15362" width="50" style="37" customWidth="1"/>
    <col min="15363" max="15363" width="0" style="37" hidden="1" customWidth="1"/>
    <col min="15364" max="15364" width="12" style="37" bestFit="1" customWidth="1"/>
    <col min="15365" max="15616" width="9.109375" style="37"/>
    <col min="15617" max="15617" width="50.44140625" style="37" customWidth="1"/>
    <col min="15618" max="15618" width="50" style="37" customWidth="1"/>
    <col min="15619" max="15619" width="0" style="37" hidden="1" customWidth="1"/>
    <col min="15620" max="15620" width="12" style="37" bestFit="1" customWidth="1"/>
    <col min="15621" max="15872" width="9.109375" style="37"/>
    <col min="15873" max="15873" width="50.44140625" style="37" customWidth="1"/>
    <col min="15874" max="15874" width="50" style="37" customWidth="1"/>
    <col min="15875" max="15875" width="0" style="37" hidden="1" customWidth="1"/>
    <col min="15876" max="15876" width="12" style="37" bestFit="1" customWidth="1"/>
    <col min="15877" max="16128" width="9.109375" style="37"/>
    <col min="16129" max="16129" width="50.44140625" style="37" customWidth="1"/>
    <col min="16130" max="16130" width="50" style="37" customWidth="1"/>
    <col min="16131" max="16131" width="0" style="37" hidden="1" customWidth="1"/>
    <col min="16132" max="16132" width="12" style="37" bestFit="1" customWidth="1"/>
    <col min="16133" max="16384" width="9.109375" style="37"/>
  </cols>
  <sheetData>
    <row r="1" spans="1:13" ht="17.399999999999999">
      <c r="A1" s="146" t="s">
        <v>61</v>
      </c>
      <c r="B1" s="147"/>
      <c r="M1" s="38"/>
    </row>
    <row r="3" spans="1:13" ht="15" customHeight="1">
      <c r="A3" s="39" t="s">
        <v>62</v>
      </c>
      <c r="B3" s="39" t="s">
        <v>63</v>
      </c>
    </row>
    <row r="4" spans="1:13" ht="15" customHeight="1">
      <c r="A4" s="40"/>
      <c r="B4" s="41" t="s">
        <v>64</v>
      </c>
    </row>
    <row r="5" spans="1:13" ht="15" customHeight="1" thickBot="1">
      <c r="A5" s="42"/>
      <c r="B5" s="43" t="s">
        <v>65</v>
      </c>
    </row>
    <row r="6" spans="1:13" ht="15" customHeight="1">
      <c r="A6" s="39" t="s">
        <v>66</v>
      </c>
      <c r="B6" s="44" t="s">
        <v>67</v>
      </c>
    </row>
    <row r="7" spans="1:13" ht="15" customHeight="1" thickBot="1">
      <c r="A7" s="67"/>
      <c r="B7" s="68"/>
    </row>
    <row r="8" spans="1:13" ht="15" customHeight="1">
      <c r="A8" s="41"/>
      <c r="B8" s="46" t="s">
        <v>68</v>
      </c>
      <c r="D8" s="47"/>
    </row>
    <row r="9" spans="1:13" ht="15" customHeight="1" thickBot="1">
      <c r="A9" s="48"/>
      <c r="B9" s="68"/>
    </row>
    <row r="10" spans="1:13" ht="15" customHeight="1" thickBot="1">
      <c r="A10" s="49" t="s">
        <v>69</v>
      </c>
      <c r="B10" s="44" t="s">
        <v>70</v>
      </c>
    </row>
    <row r="11" spans="1:13" ht="15" customHeight="1">
      <c r="A11" s="50"/>
      <c r="B11" s="51" t="s">
        <v>71</v>
      </c>
    </row>
    <row r="12" spans="1:13" ht="15" customHeight="1" thickBot="1">
      <c r="A12" s="43" t="s">
        <v>72</v>
      </c>
      <c r="B12" s="52" t="s">
        <v>73</v>
      </c>
    </row>
    <row r="13" spans="1:13" ht="15" customHeight="1">
      <c r="A13" s="53" t="s">
        <v>74</v>
      </c>
      <c r="B13" s="39" t="s">
        <v>75</v>
      </c>
      <c r="C13" s="54"/>
    </row>
    <row r="14" spans="1:13" ht="15" customHeight="1">
      <c r="A14" s="47"/>
      <c r="B14" s="45"/>
    </row>
    <row r="15" spans="1:13" ht="15" customHeight="1" thickBot="1">
      <c r="A15" s="55"/>
      <c r="B15" s="42"/>
      <c r="C15" s="56"/>
    </row>
    <row r="16" spans="1:13" ht="15" customHeight="1" thickBot="1">
      <c r="A16" s="57" t="s">
        <v>76</v>
      </c>
      <c r="B16" s="39" t="s">
        <v>77</v>
      </c>
    </row>
    <row r="17" spans="1:3" ht="15" customHeight="1">
      <c r="A17" s="58" t="s">
        <v>30</v>
      </c>
      <c r="B17" s="45" t="s">
        <v>78</v>
      </c>
      <c r="C17" s="59"/>
    </row>
    <row r="18" spans="1:3" ht="15" customHeight="1">
      <c r="A18" s="58" t="s">
        <v>79</v>
      </c>
      <c r="B18" s="45" t="s">
        <v>80</v>
      </c>
      <c r="C18" s="60"/>
    </row>
    <row r="19" spans="1:3" ht="15" customHeight="1">
      <c r="A19" s="58" t="s">
        <v>81</v>
      </c>
      <c r="B19" s="45" t="s">
        <v>82</v>
      </c>
    </row>
    <row r="20" spans="1:3" ht="15" customHeight="1">
      <c r="A20" s="45"/>
      <c r="B20" s="45"/>
    </row>
    <row r="21" spans="1:3" ht="15" customHeight="1">
      <c r="A21" s="45"/>
      <c r="B21" s="45"/>
    </row>
    <row r="22" spans="1:3" ht="15" customHeight="1" thickBot="1">
      <c r="A22" s="61" t="s">
        <v>83</v>
      </c>
      <c r="B22" s="61" t="s">
        <v>83</v>
      </c>
    </row>
    <row r="23" spans="1:3" ht="15" customHeight="1">
      <c r="A23" s="39" t="s">
        <v>84</v>
      </c>
      <c r="B23" s="39" t="s">
        <v>85</v>
      </c>
    </row>
    <row r="24" spans="1:3" ht="15" customHeight="1">
      <c r="A24" s="45" t="s">
        <v>78</v>
      </c>
      <c r="B24" s="45" t="s">
        <v>86</v>
      </c>
    </row>
    <row r="25" spans="1:3" ht="15" customHeight="1">
      <c r="A25" s="45" t="s">
        <v>80</v>
      </c>
      <c r="B25" s="45" t="s">
        <v>87</v>
      </c>
    </row>
    <row r="26" spans="1:3" ht="15" customHeight="1">
      <c r="A26" s="45" t="s">
        <v>82</v>
      </c>
      <c r="B26" s="45" t="s">
        <v>88</v>
      </c>
    </row>
    <row r="27" spans="1:3" ht="15" customHeight="1">
      <c r="A27" s="45"/>
    </row>
    <row r="28" spans="1:3" ht="15" customHeight="1">
      <c r="A28" s="45"/>
      <c r="B28" s="45" t="s">
        <v>161</v>
      </c>
    </row>
    <row r="29" spans="1:3" ht="15" customHeight="1">
      <c r="A29" s="45"/>
      <c r="B29" s="45" t="s">
        <v>162</v>
      </c>
    </row>
    <row r="30" spans="1:3" ht="15" customHeight="1" thickBot="1">
      <c r="A30" s="61" t="s">
        <v>89</v>
      </c>
      <c r="B30" s="61" t="s">
        <v>89</v>
      </c>
    </row>
    <row r="31" spans="1:3" ht="15" customHeight="1">
      <c r="A31" s="39" t="s">
        <v>90</v>
      </c>
      <c r="B31" s="39" t="s">
        <v>91</v>
      </c>
    </row>
    <row r="32" spans="1:3" ht="15" customHeight="1">
      <c r="A32" s="45" t="s">
        <v>92</v>
      </c>
      <c r="B32" s="62">
        <v>6402.99</v>
      </c>
    </row>
    <row r="33" spans="1:9" ht="15" customHeight="1">
      <c r="A33" s="45"/>
      <c r="B33" s="62"/>
    </row>
    <row r="34" spans="1:9" ht="15" customHeight="1">
      <c r="A34" s="45"/>
      <c r="B34" s="62"/>
    </row>
    <row r="35" spans="1:9" ht="15" customHeight="1">
      <c r="A35" s="45"/>
      <c r="B35" s="45"/>
    </row>
    <row r="36" spans="1:9" ht="15" customHeight="1" thickBot="1">
      <c r="A36" s="42"/>
      <c r="B36" s="42"/>
    </row>
    <row r="37" spans="1:9" ht="15" customHeight="1">
      <c r="A37" s="39" t="s">
        <v>159</v>
      </c>
      <c r="B37" s="39" t="s">
        <v>160</v>
      </c>
    </row>
    <row r="38" spans="1:9" ht="15" customHeight="1">
      <c r="A38" s="45" t="s">
        <v>86</v>
      </c>
      <c r="B38" s="45" t="s">
        <v>86</v>
      </c>
      <c r="C38" s="37" t="s">
        <v>86</v>
      </c>
    </row>
    <row r="39" spans="1:9" ht="15" customHeight="1">
      <c r="A39" s="45" t="s">
        <v>87</v>
      </c>
      <c r="B39" s="45" t="s">
        <v>87</v>
      </c>
      <c r="C39" s="37" t="s">
        <v>87</v>
      </c>
    </row>
    <row r="40" spans="1:9" ht="15" customHeight="1">
      <c r="A40" s="45" t="s">
        <v>88</v>
      </c>
      <c r="B40" s="45" t="s">
        <v>88</v>
      </c>
      <c r="C40" s="37" t="s">
        <v>88</v>
      </c>
      <c r="I40" s="63"/>
    </row>
    <row r="41" spans="1:9" ht="15" customHeight="1">
      <c r="A41" s="45"/>
      <c r="B41" s="45"/>
    </row>
    <row r="42" spans="1:9" ht="15" customHeight="1" thickBot="1">
      <c r="A42" s="61" t="s">
        <v>89</v>
      </c>
      <c r="B42" s="61" t="s">
        <v>89</v>
      </c>
    </row>
    <row r="43" spans="1:9">
      <c r="A43" s="64" t="s">
        <v>93</v>
      </c>
    </row>
    <row r="44" spans="1:9">
      <c r="A44" s="64" t="s">
        <v>94</v>
      </c>
    </row>
    <row r="45" spans="1:9" ht="39.6">
      <c r="A45" s="65" t="s">
        <v>95</v>
      </c>
    </row>
    <row r="46" spans="1:9">
      <c r="A46" s="64" t="s">
        <v>96</v>
      </c>
    </row>
    <row r="47" spans="1:9">
      <c r="A47" s="66"/>
      <c r="B47" s="63"/>
    </row>
  </sheetData>
  <mergeCells count="1">
    <mergeCell ref="A1:B1"/>
  </mergeCells>
  <phoneticPr fontId="12" type="noConversion"/>
  <printOptions horizontalCentered="1"/>
  <pageMargins left="0.19" right="0.21" top="0.98" bottom="0.52" header="0.5" footer="0.5"/>
  <pageSetup orientation="portrait" horizontalDpi="400" verticalDpi="4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51487-3751-4506-A73F-1FA20F87F85A}">
  <dimension ref="A1:AW83"/>
  <sheetViews>
    <sheetView zoomScale="70" zoomScaleNormal="70" workbookViewId="0">
      <selection activeCell="A10" sqref="A10:A30"/>
    </sheetView>
  </sheetViews>
  <sheetFormatPr defaultColWidth="9" defaultRowHeight="26.1" customHeight="1"/>
  <cols>
    <col min="1" max="1" width="9.44140625" style="85" customWidth="1"/>
    <col min="2" max="2" width="9.6640625" style="85" customWidth="1"/>
    <col min="3" max="3" width="5.109375" style="85" customWidth="1"/>
    <col min="4" max="4" width="1.77734375" style="85" customWidth="1"/>
    <col min="5" max="5" width="5.21875" style="85" customWidth="1"/>
    <col min="6" max="6" width="14.33203125" style="86" customWidth="1"/>
    <col min="7" max="7" width="6.44140625" style="85" customWidth="1"/>
    <col min="8" max="8" width="6.21875" style="85" customWidth="1"/>
    <col min="9" max="9" width="5.33203125" style="85" customWidth="1"/>
    <col min="10" max="10" width="7.44140625" style="85" customWidth="1"/>
    <col min="11" max="11" width="8.33203125" style="85" customWidth="1"/>
    <col min="12" max="12" width="6.33203125" style="85" customWidth="1"/>
    <col min="13" max="13" width="8.21875" style="93" customWidth="1"/>
    <col min="14" max="14" width="7.6640625" style="85" customWidth="1"/>
    <col min="15" max="15" width="8.77734375" style="85" customWidth="1"/>
    <col min="16" max="16" width="6.33203125" style="85" customWidth="1"/>
    <col min="17" max="17" width="6.6640625" style="85" customWidth="1"/>
    <col min="18" max="18" width="6.44140625" style="85" customWidth="1"/>
    <col min="19" max="19" width="9" style="94" customWidth="1"/>
    <col min="20" max="16384" width="9" style="82"/>
  </cols>
  <sheetData>
    <row r="1" spans="1:49" ht="17.399999999999999">
      <c r="A1" s="170" t="s">
        <v>1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</row>
    <row r="2" spans="1:49" s="98" customFormat="1" ht="13.8">
      <c r="A2" s="95" t="s">
        <v>2</v>
      </c>
      <c r="B2" s="83" t="s">
        <v>119</v>
      </c>
      <c r="C2" s="96"/>
      <c r="D2" s="96"/>
      <c r="E2" s="96"/>
      <c r="F2" s="97"/>
      <c r="I2" s="99"/>
      <c r="J2" s="100"/>
      <c r="L2" s="99"/>
      <c r="M2" s="101"/>
      <c r="N2" s="99"/>
      <c r="O2" s="171" t="s">
        <v>158</v>
      </c>
      <c r="P2" s="171"/>
      <c r="Q2" s="102" t="s">
        <v>3</v>
      </c>
      <c r="R2" s="103"/>
      <c r="S2" s="104"/>
    </row>
    <row r="3" spans="1:49" s="98" customFormat="1" ht="13.8">
      <c r="A3" s="95" t="s">
        <v>156</v>
      </c>
      <c r="B3" s="105"/>
      <c r="C3" s="105"/>
      <c r="D3" s="105"/>
      <c r="E3" s="105"/>
      <c r="F3" s="106"/>
      <c r="G3" s="107"/>
      <c r="I3" s="107"/>
      <c r="J3" s="107"/>
      <c r="K3" s="107"/>
      <c r="L3" s="99"/>
      <c r="M3" s="101"/>
      <c r="O3" s="103"/>
      <c r="P3" s="103"/>
      <c r="Q3" s="102" t="s">
        <v>4</v>
      </c>
      <c r="R3" s="103"/>
      <c r="S3" s="104"/>
    </row>
    <row r="4" spans="1:49" s="98" customFormat="1" ht="13.8">
      <c r="A4" s="95" t="s">
        <v>5</v>
      </c>
      <c r="B4" s="96"/>
      <c r="C4" s="117">
        <v>894</v>
      </c>
      <c r="E4" s="95" t="s">
        <v>0</v>
      </c>
      <c r="G4" s="107"/>
      <c r="I4" s="99"/>
      <c r="J4" s="100"/>
      <c r="K4" s="107"/>
      <c r="L4" s="99"/>
      <c r="M4" s="101"/>
      <c r="O4" s="103"/>
      <c r="P4" s="103"/>
      <c r="Q4" s="102" t="s">
        <v>6</v>
      </c>
      <c r="R4" s="103"/>
      <c r="S4" s="104"/>
    </row>
    <row r="5" spans="1:49" s="98" customFormat="1" ht="13.8">
      <c r="A5" s="95" t="s">
        <v>154</v>
      </c>
      <c r="B5" s="108" t="s">
        <v>163</v>
      </c>
      <c r="C5" s="96"/>
      <c r="D5" s="96"/>
      <c r="E5" s="96"/>
      <c r="F5" s="96"/>
      <c r="G5" s="119" t="s">
        <v>155</v>
      </c>
      <c r="H5" s="116" t="s">
        <v>164</v>
      </c>
      <c r="I5" s="107"/>
      <c r="J5" s="100"/>
      <c r="K5" s="107"/>
      <c r="L5" s="99"/>
      <c r="M5" s="101"/>
      <c r="O5" s="103"/>
      <c r="P5" s="103"/>
      <c r="Q5" s="102" t="s">
        <v>7</v>
      </c>
      <c r="R5" s="103"/>
      <c r="S5" s="104"/>
    </row>
    <row r="6" spans="1:49" s="98" customFormat="1" ht="13.8">
      <c r="A6" s="95" t="s">
        <v>157</v>
      </c>
      <c r="B6" s="172"/>
      <c r="C6" s="172"/>
      <c r="D6" s="172"/>
      <c r="E6" s="172"/>
      <c r="F6" s="172"/>
      <c r="G6" s="118"/>
      <c r="I6" s="99"/>
      <c r="J6" s="100"/>
      <c r="K6" s="107"/>
      <c r="L6" s="99"/>
      <c r="M6" s="101"/>
      <c r="O6" s="103"/>
      <c r="P6" s="103"/>
      <c r="Q6" s="102" t="s">
        <v>8</v>
      </c>
      <c r="R6" s="103"/>
      <c r="S6" s="104"/>
    </row>
    <row r="7" spans="1:49" s="85" customFormat="1" ht="15.6">
      <c r="A7" s="84"/>
      <c r="B7" s="84"/>
      <c r="F7" s="86"/>
      <c r="G7" s="84"/>
      <c r="H7" s="84"/>
      <c r="I7" s="84"/>
      <c r="J7" s="84"/>
      <c r="K7" s="84"/>
      <c r="L7" s="84"/>
      <c r="M7" s="87"/>
      <c r="N7" s="84"/>
      <c r="O7" s="84"/>
      <c r="P7" s="84"/>
      <c r="Q7" s="84"/>
      <c r="R7" s="84"/>
      <c r="S7" s="88"/>
    </row>
    <row r="8" spans="1:49" s="90" customFormat="1" ht="16.2" customHeight="1">
      <c r="A8" s="173" t="s">
        <v>9</v>
      </c>
      <c r="B8" s="174" t="s">
        <v>10</v>
      </c>
      <c r="C8" s="174" t="s">
        <v>11</v>
      </c>
      <c r="D8" s="174"/>
      <c r="E8" s="174"/>
      <c r="F8" s="174" t="s">
        <v>12</v>
      </c>
      <c r="G8" s="175" t="s">
        <v>13</v>
      </c>
      <c r="H8" s="175" t="s">
        <v>14</v>
      </c>
      <c r="I8" s="175" t="s">
        <v>15</v>
      </c>
      <c r="J8" s="176" t="s">
        <v>16</v>
      </c>
      <c r="K8" s="173" t="s">
        <v>17</v>
      </c>
      <c r="L8" s="174" t="s">
        <v>153</v>
      </c>
      <c r="M8" s="174"/>
      <c r="N8" s="174"/>
      <c r="O8" s="174"/>
      <c r="P8" s="177" t="s">
        <v>18</v>
      </c>
      <c r="Q8" s="177"/>
      <c r="R8" s="177"/>
      <c r="S8" s="89" t="s">
        <v>19</v>
      </c>
    </row>
    <row r="9" spans="1:49" s="90" customFormat="1" ht="16.2" customHeight="1">
      <c r="A9" s="173"/>
      <c r="B9" s="174"/>
      <c r="C9" s="174"/>
      <c r="D9" s="174"/>
      <c r="E9" s="174"/>
      <c r="F9" s="174"/>
      <c r="G9" s="175"/>
      <c r="H9" s="175"/>
      <c r="I9" s="175"/>
      <c r="J9" s="176"/>
      <c r="K9" s="176"/>
      <c r="L9" s="174" t="s">
        <v>20</v>
      </c>
      <c r="M9" s="174"/>
      <c r="N9" s="174" t="s">
        <v>21</v>
      </c>
      <c r="O9" s="174"/>
      <c r="P9" s="91" t="s">
        <v>22</v>
      </c>
      <c r="Q9" s="91" t="s">
        <v>23</v>
      </c>
      <c r="R9" s="91" t="s">
        <v>24</v>
      </c>
      <c r="S9" s="92" t="s">
        <v>25</v>
      </c>
    </row>
    <row r="10" spans="1:49" s="115" customFormat="1" ht="16.2" customHeight="1">
      <c r="A10" s="155" t="s">
        <v>150</v>
      </c>
      <c r="B10" s="157" t="s">
        <v>151</v>
      </c>
      <c r="C10" s="109">
        <v>1</v>
      </c>
      <c r="D10" s="110" t="s">
        <v>26</v>
      </c>
      <c r="E10" s="109">
        <v>30</v>
      </c>
      <c r="F10" s="111" t="s">
        <v>134</v>
      </c>
      <c r="G10" s="111" t="s">
        <v>135</v>
      </c>
      <c r="H10" s="109">
        <v>30</v>
      </c>
      <c r="I10" s="109">
        <v>6</v>
      </c>
      <c r="J10" s="112">
        <f>SUM(H10*I10)</f>
        <v>180</v>
      </c>
      <c r="K10" s="159">
        <f>SUM(J10:J12)</f>
        <v>660</v>
      </c>
      <c r="L10" s="113">
        <v>4.5999999999999996</v>
      </c>
      <c r="M10" s="114">
        <f>SUM(L10*H10)</f>
        <v>138</v>
      </c>
      <c r="N10" s="113">
        <v>6.9</v>
      </c>
      <c r="O10" s="114">
        <f>SUM(H10*N10)</f>
        <v>207</v>
      </c>
      <c r="P10" s="114">
        <v>40.5</v>
      </c>
      <c r="Q10" s="114">
        <v>36.5</v>
      </c>
      <c r="R10" s="114">
        <v>36</v>
      </c>
      <c r="S10" s="134">
        <f>SUM(P10*R10*Q10*H10/1000000)</f>
        <v>1.5965100000000001</v>
      </c>
    </row>
    <row r="11" spans="1:49" s="115" customFormat="1" ht="16.2" customHeight="1">
      <c r="A11" s="156"/>
      <c r="B11" s="158"/>
      <c r="C11" s="109">
        <v>31</v>
      </c>
      <c r="D11" s="110" t="s">
        <v>26</v>
      </c>
      <c r="E11" s="109">
        <v>70</v>
      </c>
      <c r="F11" s="111" t="s">
        <v>152</v>
      </c>
      <c r="G11" s="111" t="s">
        <v>135</v>
      </c>
      <c r="H11" s="109">
        <v>40</v>
      </c>
      <c r="I11" s="109">
        <v>6</v>
      </c>
      <c r="J11" s="112">
        <f>SUM(H11*I11)</f>
        <v>240</v>
      </c>
      <c r="K11" s="160"/>
      <c r="L11" s="113">
        <v>4.5999999999999996</v>
      </c>
      <c r="M11" s="114">
        <f>SUM(L11*H11)</f>
        <v>184</v>
      </c>
      <c r="N11" s="113">
        <v>6.9</v>
      </c>
      <c r="O11" s="114">
        <f>SUM(H11*N11)</f>
        <v>276</v>
      </c>
      <c r="P11" s="114">
        <v>40.5</v>
      </c>
      <c r="Q11" s="114">
        <v>36.5</v>
      </c>
      <c r="R11" s="114">
        <v>36</v>
      </c>
      <c r="S11" s="134">
        <f>SUM(P11*R11*Q11*H11/1000000)</f>
        <v>2.1286800000000001</v>
      </c>
    </row>
    <row r="12" spans="1:49" s="115" customFormat="1" ht="16.2" customHeight="1">
      <c r="A12" s="156"/>
      <c r="B12" s="158"/>
      <c r="C12" s="109">
        <v>71</v>
      </c>
      <c r="D12" s="110" t="s">
        <v>26</v>
      </c>
      <c r="E12" s="109">
        <v>110</v>
      </c>
      <c r="F12" s="111" t="s">
        <v>128</v>
      </c>
      <c r="G12" s="111" t="s">
        <v>135</v>
      </c>
      <c r="H12" s="109">
        <v>40</v>
      </c>
      <c r="I12" s="109">
        <v>6</v>
      </c>
      <c r="J12" s="112">
        <f>SUM(H12*I12)</f>
        <v>240</v>
      </c>
      <c r="K12" s="160"/>
      <c r="L12" s="113">
        <v>4.5999999999999996</v>
      </c>
      <c r="M12" s="114">
        <f>SUM(L12*H12)</f>
        <v>184</v>
      </c>
      <c r="N12" s="113">
        <v>6.9</v>
      </c>
      <c r="O12" s="114">
        <f>SUM(H12*N12)</f>
        <v>276</v>
      </c>
      <c r="P12" s="114">
        <v>40.5</v>
      </c>
      <c r="Q12" s="114">
        <v>36.5</v>
      </c>
      <c r="R12" s="114">
        <v>36</v>
      </c>
      <c r="S12" s="134">
        <f>SUM(P12*R12*Q12*H12/1000000)</f>
        <v>2.1286800000000001</v>
      </c>
    </row>
    <row r="13" spans="1:49" s="125" customFormat="1" ht="16.2" customHeight="1">
      <c r="A13" s="161" t="s">
        <v>111</v>
      </c>
      <c r="B13" s="164" t="s">
        <v>127</v>
      </c>
      <c r="C13" s="120">
        <v>234</v>
      </c>
      <c r="D13" s="121" t="s">
        <v>26</v>
      </c>
      <c r="E13" s="120">
        <v>268</v>
      </c>
      <c r="F13" s="121" t="s">
        <v>128</v>
      </c>
      <c r="G13" s="122" t="s">
        <v>114</v>
      </c>
      <c r="H13" s="122">
        <v>35</v>
      </c>
      <c r="I13" s="122">
        <v>12</v>
      </c>
      <c r="J13" s="123">
        <f t="shared" ref="J13:J76" si="0">H13*I13</f>
        <v>420</v>
      </c>
      <c r="K13" s="167">
        <f>SUM(J13:J16)</f>
        <v>1500</v>
      </c>
      <c r="L13" s="124">
        <v>9</v>
      </c>
      <c r="M13" s="124">
        <f t="shared" ref="M13:M76" si="1">L13*H13</f>
        <v>315</v>
      </c>
      <c r="N13" s="124">
        <v>13.68</v>
      </c>
      <c r="O13" s="124">
        <f t="shared" ref="O13:O76" si="2">N13*H13</f>
        <v>478.8</v>
      </c>
      <c r="P13" s="124">
        <v>74</v>
      </c>
      <c r="Q13" s="124">
        <v>41</v>
      </c>
      <c r="R13" s="124">
        <v>35.5</v>
      </c>
      <c r="S13" s="135">
        <f t="shared" ref="S13:S76" si="3">P13*Q13*R13*H13/1000000</f>
        <v>3.7697449999999999</v>
      </c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  <c r="AW13" s="136"/>
    </row>
    <row r="14" spans="1:49" s="125" customFormat="1" ht="16.2" customHeight="1">
      <c r="A14" s="162"/>
      <c r="B14" s="165"/>
      <c r="C14" s="120">
        <f t="shared" ref="C14:C18" si="4">E13+1</f>
        <v>269</v>
      </c>
      <c r="D14" s="121" t="s">
        <v>26</v>
      </c>
      <c r="E14" s="120">
        <f t="shared" ref="E14:E18" si="5">E13+H14</f>
        <v>318</v>
      </c>
      <c r="F14" s="121" t="s">
        <v>128</v>
      </c>
      <c r="G14" s="122" t="s">
        <v>115</v>
      </c>
      <c r="H14" s="122">
        <v>50</v>
      </c>
      <c r="I14" s="122">
        <v>12</v>
      </c>
      <c r="J14" s="123">
        <f t="shared" si="0"/>
        <v>600</v>
      </c>
      <c r="K14" s="168"/>
      <c r="L14" s="124">
        <v>9</v>
      </c>
      <c r="M14" s="124">
        <f t="shared" si="1"/>
        <v>450</v>
      </c>
      <c r="N14" s="124">
        <v>13.68</v>
      </c>
      <c r="O14" s="124">
        <f t="shared" si="2"/>
        <v>684</v>
      </c>
      <c r="P14" s="124">
        <v>74</v>
      </c>
      <c r="Q14" s="124">
        <v>41</v>
      </c>
      <c r="R14" s="124">
        <v>35.5</v>
      </c>
      <c r="S14" s="135">
        <f t="shared" si="3"/>
        <v>5.3853499999999999</v>
      </c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136"/>
      <c r="AM14" s="136"/>
      <c r="AN14" s="136"/>
      <c r="AO14" s="136"/>
      <c r="AP14" s="136"/>
      <c r="AQ14" s="136"/>
      <c r="AR14" s="136"/>
      <c r="AS14" s="136"/>
      <c r="AT14" s="136"/>
      <c r="AU14" s="136"/>
      <c r="AV14" s="136"/>
      <c r="AW14" s="136"/>
    </row>
    <row r="15" spans="1:49" s="125" customFormat="1" ht="16.2" customHeight="1">
      <c r="A15" s="162"/>
      <c r="B15" s="165"/>
      <c r="C15" s="120">
        <v>424</v>
      </c>
      <c r="D15" s="121" t="s">
        <v>26</v>
      </c>
      <c r="E15" s="120">
        <v>438</v>
      </c>
      <c r="F15" s="121" t="s">
        <v>129</v>
      </c>
      <c r="G15" s="122" t="s">
        <v>114</v>
      </c>
      <c r="H15" s="122">
        <v>15</v>
      </c>
      <c r="I15" s="122">
        <v>12</v>
      </c>
      <c r="J15" s="123">
        <f t="shared" si="0"/>
        <v>180</v>
      </c>
      <c r="K15" s="168"/>
      <c r="L15" s="124">
        <v>9</v>
      </c>
      <c r="M15" s="124">
        <f t="shared" si="1"/>
        <v>135</v>
      </c>
      <c r="N15" s="124">
        <v>13.68</v>
      </c>
      <c r="O15" s="124">
        <f t="shared" si="2"/>
        <v>205.2</v>
      </c>
      <c r="P15" s="124">
        <v>74</v>
      </c>
      <c r="Q15" s="124">
        <v>41</v>
      </c>
      <c r="R15" s="124">
        <v>35.5</v>
      </c>
      <c r="S15" s="135">
        <f t="shared" si="3"/>
        <v>1.615605</v>
      </c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  <c r="AR15" s="136"/>
      <c r="AS15" s="136"/>
      <c r="AT15" s="136"/>
      <c r="AU15" s="136"/>
      <c r="AV15" s="136"/>
      <c r="AW15" s="136"/>
    </row>
    <row r="16" spans="1:49" s="125" customFormat="1" ht="16.2" customHeight="1">
      <c r="A16" s="163"/>
      <c r="B16" s="166"/>
      <c r="C16" s="120">
        <f t="shared" si="4"/>
        <v>439</v>
      </c>
      <c r="D16" s="121" t="s">
        <v>26</v>
      </c>
      <c r="E16" s="120">
        <f t="shared" si="5"/>
        <v>463</v>
      </c>
      <c r="F16" s="121" t="s">
        <v>129</v>
      </c>
      <c r="G16" s="122" t="s">
        <v>115</v>
      </c>
      <c r="H16" s="122">
        <v>25</v>
      </c>
      <c r="I16" s="122">
        <v>12</v>
      </c>
      <c r="J16" s="123">
        <f t="shared" si="0"/>
        <v>300</v>
      </c>
      <c r="K16" s="169"/>
      <c r="L16" s="124">
        <v>9</v>
      </c>
      <c r="M16" s="124">
        <f t="shared" si="1"/>
        <v>225</v>
      </c>
      <c r="N16" s="124">
        <v>13.68</v>
      </c>
      <c r="O16" s="124">
        <f t="shared" si="2"/>
        <v>342</v>
      </c>
      <c r="P16" s="124">
        <v>74</v>
      </c>
      <c r="Q16" s="124">
        <v>41</v>
      </c>
      <c r="R16" s="124">
        <v>35.5</v>
      </c>
      <c r="S16" s="135">
        <f t="shared" si="3"/>
        <v>2.6926749999999999</v>
      </c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</row>
    <row r="17" spans="1:49" s="125" customFormat="1" ht="16.2" customHeight="1">
      <c r="A17" s="161" t="s">
        <v>112</v>
      </c>
      <c r="B17" s="164" t="s">
        <v>130</v>
      </c>
      <c r="C17" s="120">
        <v>86</v>
      </c>
      <c r="D17" s="121" t="s">
        <v>26</v>
      </c>
      <c r="E17" s="120">
        <v>105</v>
      </c>
      <c r="F17" s="121" t="s">
        <v>131</v>
      </c>
      <c r="G17" s="122" t="s">
        <v>114</v>
      </c>
      <c r="H17" s="122">
        <v>20</v>
      </c>
      <c r="I17" s="122">
        <v>12</v>
      </c>
      <c r="J17" s="123">
        <f t="shared" si="0"/>
        <v>240</v>
      </c>
      <c r="K17" s="167">
        <f>SUM(J17:J21)</f>
        <v>1416</v>
      </c>
      <c r="L17" s="124">
        <v>9</v>
      </c>
      <c r="M17" s="124">
        <f t="shared" si="1"/>
        <v>180</v>
      </c>
      <c r="N17" s="124">
        <v>13.42</v>
      </c>
      <c r="O17" s="124">
        <f t="shared" si="2"/>
        <v>268.39999999999998</v>
      </c>
      <c r="P17" s="124">
        <v>74</v>
      </c>
      <c r="Q17" s="124">
        <v>41</v>
      </c>
      <c r="R17" s="124">
        <v>35.5</v>
      </c>
      <c r="S17" s="135">
        <f t="shared" si="3"/>
        <v>2.1541399999999999</v>
      </c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  <c r="AS17" s="136"/>
      <c r="AT17" s="136"/>
      <c r="AU17" s="136"/>
      <c r="AV17" s="136"/>
      <c r="AW17" s="136"/>
    </row>
    <row r="18" spans="1:49" s="125" customFormat="1" ht="16.2" customHeight="1">
      <c r="A18" s="162"/>
      <c r="B18" s="165"/>
      <c r="C18" s="120">
        <f t="shared" si="4"/>
        <v>106</v>
      </c>
      <c r="D18" s="121" t="s">
        <v>26</v>
      </c>
      <c r="E18" s="120">
        <f t="shared" si="5"/>
        <v>135</v>
      </c>
      <c r="F18" s="121" t="s">
        <v>131</v>
      </c>
      <c r="G18" s="122" t="s">
        <v>115</v>
      </c>
      <c r="H18" s="122">
        <v>30</v>
      </c>
      <c r="I18" s="122">
        <v>12</v>
      </c>
      <c r="J18" s="123">
        <f t="shared" si="0"/>
        <v>360</v>
      </c>
      <c r="K18" s="168"/>
      <c r="L18" s="124">
        <v>9</v>
      </c>
      <c r="M18" s="124">
        <f t="shared" si="1"/>
        <v>270</v>
      </c>
      <c r="N18" s="124">
        <v>13.42</v>
      </c>
      <c r="O18" s="124">
        <f t="shared" si="2"/>
        <v>402.6</v>
      </c>
      <c r="P18" s="124">
        <v>74</v>
      </c>
      <c r="Q18" s="124">
        <v>41</v>
      </c>
      <c r="R18" s="124">
        <v>35.5</v>
      </c>
      <c r="S18" s="135">
        <f t="shared" si="3"/>
        <v>3.2312099999999999</v>
      </c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  <c r="AK18" s="136"/>
      <c r="AL18" s="136"/>
      <c r="AM18" s="136"/>
      <c r="AN18" s="136"/>
      <c r="AO18" s="136"/>
      <c r="AP18" s="136"/>
      <c r="AQ18" s="136"/>
      <c r="AR18" s="136"/>
      <c r="AS18" s="136"/>
      <c r="AT18" s="136"/>
      <c r="AU18" s="136"/>
      <c r="AV18" s="136"/>
      <c r="AW18" s="136"/>
    </row>
    <row r="19" spans="1:49" s="125" customFormat="1" ht="16.2" customHeight="1">
      <c r="A19" s="162"/>
      <c r="B19" s="165"/>
      <c r="C19" s="120">
        <v>136</v>
      </c>
      <c r="D19" s="121" t="s">
        <v>26</v>
      </c>
      <c r="E19" s="120">
        <v>143</v>
      </c>
      <c r="F19" s="121" t="s">
        <v>132</v>
      </c>
      <c r="G19" s="122" t="s">
        <v>113</v>
      </c>
      <c r="H19" s="122">
        <v>8</v>
      </c>
      <c r="I19" s="122">
        <v>12</v>
      </c>
      <c r="J19" s="123">
        <f t="shared" si="0"/>
        <v>96</v>
      </c>
      <c r="K19" s="168"/>
      <c r="L19" s="124">
        <v>9</v>
      </c>
      <c r="M19" s="124">
        <f t="shared" si="1"/>
        <v>72</v>
      </c>
      <c r="N19" s="124">
        <v>13.42</v>
      </c>
      <c r="O19" s="124">
        <f t="shared" si="2"/>
        <v>107.36</v>
      </c>
      <c r="P19" s="124">
        <v>74</v>
      </c>
      <c r="Q19" s="124">
        <v>41</v>
      </c>
      <c r="R19" s="124">
        <v>35.5</v>
      </c>
      <c r="S19" s="135">
        <f t="shared" si="3"/>
        <v>0.86165599999999998</v>
      </c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  <c r="AK19" s="136"/>
      <c r="AL19" s="136"/>
      <c r="AM19" s="136"/>
      <c r="AN19" s="136"/>
      <c r="AO19" s="136"/>
      <c r="AP19" s="136"/>
      <c r="AQ19" s="136"/>
      <c r="AR19" s="136"/>
      <c r="AS19" s="136"/>
      <c r="AT19" s="136"/>
      <c r="AU19" s="136"/>
      <c r="AV19" s="136"/>
      <c r="AW19" s="136"/>
    </row>
    <row r="20" spans="1:49" s="125" customFormat="1" ht="16.2" customHeight="1">
      <c r="A20" s="162"/>
      <c r="B20" s="165"/>
      <c r="C20" s="120">
        <f t="shared" ref="C20:C24" si="6">E19+1</f>
        <v>144</v>
      </c>
      <c r="D20" s="121" t="s">
        <v>26</v>
      </c>
      <c r="E20" s="120">
        <f t="shared" ref="E20:E24" si="7">E19+H20</f>
        <v>168</v>
      </c>
      <c r="F20" s="121" t="s">
        <v>132</v>
      </c>
      <c r="G20" s="122" t="s">
        <v>114</v>
      </c>
      <c r="H20" s="122">
        <v>25</v>
      </c>
      <c r="I20" s="122">
        <v>12</v>
      </c>
      <c r="J20" s="123">
        <f t="shared" si="0"/>
        <v>300</v>
      </c>
      <c r="K20" s="168"/>
      <c r="L20" s="124">
        <v>9</v>
      </c>
      <c r="M20" s="124">
        <f t="shared" si="1"/>
        <v>225</v>
      </c>
      <c r="N20" s="124">
        <v>13.42</v>
      </c>
      <c r="O20" s="124">
        <f t="shared" si="2"/>
        <v>335.5</v>
      </c>
      <c r="P20" s="124">
        <v>74</v>
      </c>
      <c r="Q20" s="124">
        <v>41</v>
      </c>
      <c r="R20" s="124">
        <v>35.5</v>
      </c>
      <c r="S20" s="135">
        <f t="shared" si="3"/>
        <v>2.6926749999999999</v>
      </c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136"/>
      <c r="AV20" s="136"/>
      <c r="AW20" s="136"/>
    </row>
    <row r="21" spans="1:49" s="125" customFormat="1" ht="16.2" customHeight="1">
      <c r="A21" s="163"/>
      <c r="B21" s="166"/>
      <c r="C21" s="120">
        <f t="shared" si="6"/>
        <v>169</v>
      </c>
      <c r="D21" s="121" t="s">
        <v>26</v>
      </c>
      <c r="E21" s="120">
        <f t="shared" si="7"/>
        <v>203</v>
      </c>
      <c r="F21" s="121" t="s">
        <v>132</v>
      </c>
      <c r="G21" s="122" t="s">
        <v>115</v>
      </c>
      <c r="H21" s="122">
        <v>35</v>
      </c>
      <c r="I21" s="122">
        <v>12</v>
      </c>
      <c r="J21" s="123">
        <f t="shared" si="0"/>
        <v>420</v>
      </c>
      <c r="K21" s="169"/>
      <c r="L21" s="124">
        <v>9</v>
      </c>
      <c r="M21" s="124">
        <f t="shared" si="1"/>
        <v>315</v>
      </c>
      <c r="N21" s="124">
        <v>13.42</v>
      </c>
      <c r="O21" s="124">
        <f t="shared" si="2"/>
        <v>469.7</v>
      </c>
      <c r="P21" s="124">
        <v>74</v>
      </c>
      <c r="Q21" s="124">
        <v>41</v>
      </c>
      <c r="R21" s="124">
        <v>35.5</v>
      </c>
      <c r="S21" s="135">
        <f t="shared" si="3"/>
        <v>3.7697449999999999</v>
      </c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</row>
    <row r="22" spans="1:49" s="125" customFormat="1" ht="16.2" customHeight="1">
      <c r="A22" s="149" t="s">
        <v>122</v>
      </c>
      <c r="B22" s="150" t="s">
        <v>133</v>
      </c>
      <c r="C22" s="120">
        <v>1</v>
      </c>
      <c r="D22" s="121" t="s">
        <v>26</v>
      </c>
      <c r="E22" s="120">
        <v>20</v>
      </c>
      <c r="F22" s="126" t="s">
        <v>134</v>
      </c>
      <c r="G22" s="122" t="s">
        <v>135</v>
      </c>
      <c r="H22" s="122">
        <v>20</v>
      </c>
      <c r="I22" s="122">
        <v>6</v>
      </c>
      <c r="J22" s="123">
        <f t="shared" si="0"/>
        <v>120</v>
      </c>
      <c r="K22" s="151">
        <f>SUM(J22:J24)</f>
        <v>210</v>
      </c>
      <c r="L22" s="124">
        <v>4.3</v>
      </c>
      <c r="M22" s="124">
        <f t="shared" si="1"/>
        <v>86</v>
      </c>
      <c r="N22" s="124">
        <v>6.46</v>
      </c>
      <c r="O22" s="124">
        <f t="shared" si="2"/>
        <v>129.19999999999999</v>
      </c>
      <c r="P22" s="124">
        <v>41</v>
      </c>
      <c r="Q22" s="124">
        <v>38</v>
      </c>
      <c r="R22" s="124">
        <v>36</v>
      </c>
      <c r="S22" s="135">
        <f t="shared" si="3"/>
        <v>1.1217600000000001</v>
      </c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</row>
    <row r="23" spans="1:49" s="125" customFormat="1" ht="16.2" customHeight="1">
      <c r="A23" s="149"/>
      <c r="B23" s="150"/>
      <c r="C23" s="120">
        <f t="shared" si="6"/>
        <v>21</v>
      </c>
      <c r="D23" s="121" t="s">
        <v>26</v>
      </c>
      <c r="E23" s="120">
        <f t="shared" si="7"/>
        <v>30</v>
      </c>
      <c r="F23" s="126" t="s">
        <v>134</v>
      </c>
      <c r="G23" s="122" t="s">
        <v>136</v>
      </c>
      <c r="H23" s="122">
        <v>10</v>
      </c>
      <c r="I23" s="122">
        <v>6</v>
      </c>
      <c r="J23" s="123">
        <f t="shared" si="0"/>
        <v>60</v>
      </c>
      <c r="K23" s="151"/>
      <c r="L23" s="124">
        <v>4.3</v>
      </c>
      <c r="M23" s="124">
        <f t="shared" si="1"/>
        <v>43</v>
      </c>
      <c r="N23" s="124">
        <v>6.46</v>
      </c>
      <c r="O23" s="124">
        <f t="shared" si="2"/>
        <v>64.599999999999994</v>
      </c>
      <c r="P23" s="124">
        <v>41</v>
      </c>
      <c r="Q23" s="124">
        <v>38</v>
      </c>
      <c r="R23" s="124">
        <v>36</v>
      </c>
      <c r="S23" s="135">
        <f t="shared" si="3"/>
        <v>0.56088000000000005</v>
      </c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6"/>
      <c r="AN23" s="136"/>
      <c r="AO23" s="136"/>
      <c r="AP23" s="136"/>
      <c r="AQ23" s="136"/>
      <c r="AR23" s="136"/>
      <c r="AS23" s="136"/>
      <c r="AT23" s="136"/>
      <c r="AU23" s="136"/>
      <c r="AV23" s="136"/>
      <c r="AW23" s="136"/>
    </row>
    <row r="24" spans="1:49" s="125" customFormat="1" ht="16.2" customHeight="1">
      <c r="A24" s="149"/>
      <c r="B24" s="150"/>
      <c r="C24" s="120">
        <f t="shared" si="6"/>
        <v>31</v>
      </c>
      <c r="D24" s="121" t="s">
        <v>26</v>
      </c>
      <c r="E24" s="120">
        <f t="shared" si="7"/>
        <v>35</v>
      </c>
      <c r="F24" s="126" t="s">
        <v>134</v>
      </c>
      <c r="G24" s="122" t="s">
        <v>137</v>
      </c>
      <c r="H24" s="122">
        <v>5</v>
      </c>
      <c r="I24" s="122">
        <v>6</v>
      </c>
      <c r="J24" s="123">
        <f t="shared" si="0"/>
        <v>30</v>
      </c>
      <c r="K24" s="151"/>
      <c r="L24" s="124">
        <v>4.3</v>
      </c>
      <c r="M24" s="124">
        <f t="shared" si="1"/>
        <v>21.5</v>
      </c>
      <c r="N24" s="124">
        <v>6.46</v>
      </c>
      <c r="O24" s="124">
        <f t="shared" si="2"/>
        <v>32.299999999999997</v>
      </c>
      <c r="P24" s="124">
        <v>41</v>
      </c>
      <c r="Q24" s="124">
        <v>38</v>
      </c>
      <c r="R24" s="124">
        <v>36</v>
      </c>
      <c r="S24" s="135">
        <f t="shared" si="3"/>
        <v>0.28044000000000002</v>
      </c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6"/>
    </row>
    <row r="25" spans="1:49" s="125" customFormat="1" ht="16.2" customHeight="1">
      <c r="A25" s="149" t="s">
        <v>123</v>
      </c>
      <c r="B25" s="150" t="s">
        <v>124</v>
      </c>
      <c r="C25" s="120">
        <v>1</v>
      </c>
      <c r="D25" s="121" t="s">
        <v>26</v>
      </c>
      <c r="E25" s="120">
        <v>35</v>
      </c>
      <c r="F25" s="126" t="s">
        <v>134</v>
      </c>
      <c r="G25" s="122" t="s">
        <v>135</v>
      </c>
      <c r="H25" s="122">
        <v>35</v>
      </c>
      <c r="I25" s="122">
        <v>6</v>
      </c>
      <c r="J25" s="123">
        <f t="shared" si="0"/>
        <v>210</v>
      </c>
      <c r="K25" s="151">
        <f>SUM(J25:J27)</f>
        <v>330</v>
      </c>
      <c r="L25" s="124">
        <v>5</v>
      </c>
      <c r="M25" s="124">
        <f t="shared" si="1"/>
        <v>175</v>
      </c>
      <c r="N25" s="124">
        <v>7</v>
      </c>
      <c r="O25" s="124">
        <f t="shared" si="2"/>
        <v>245</v>
      </c>
      <c r="P25" s="124">
        <v>41</v>
      </c>
      <c r="Q25" s="124">
        <v>38</v>
      </c>
      <c r="R25" s="124">
        <v>36</v>
      </c>
      <c r="S25" s="135">
        <f t="shared" si="3"/>
        <v>1.9630799999999999</v>
      </c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6"/>
      <c r="AN25" s="136"/>
      <c r="AO25" s="136"/>
      <c r="AP25" s="136"/>
      <c r="AQ25" s="136"/>
      <c r="AR25" s="136"/>
      <c r="AS25" s="136"/>
      <c r="AT25" s="136"/>
      <c r="AU25" s="136"/>
      <c r="AV25" s="136"/>
      <c r="AW25" s="136"/>
    </row>
    <row r="26" spans="1:49" s="125" customFormat="1" ht="16.2" customHeight="1">
      <c r="A26" s="149"/>
      <c r="B26" s="150"/>
      <c r="C26" s="120">
        <f t="shared" ref="C26:C30" si="8">E25+1</f>
        <v>36</v>
      </c>
      <c r="D26" s="121" t="s">
        <v>26</v>
      </c>
      <c r="E26" s="120">
        <f t="shared" ref="E26:E30" si="9">E25+H26</f>
        <v>45</v>
      </c>
      <c r="F26" s="126" t="s">
        <v>134</v>
      </c>
      <c r="G26" s="122" t="s">
        <v>136</v>
      </c>
      <c r="H26" s="122">
        <v>10</v>
      </c>
      <c r="I26" s="122">
        <v>6</v>
      </c>
      <c r="J26" s="123">
        <f t="shared" si="0"/>
        <v>60</v>
      </c>
      <c r="K26" s="151"/>
      <c r="L26" s="124">
        <v>5</v>
      </c>
      <c r="M26" s="124">
        <f t="shared" si="1"/>
        <v>50</v>
      </c>
      <c r="N26" s="124">
        <v>7</v>
      </c>
      <c r="O26" s="124">
        <f t="shared" si="2"/>
        <v>70</v>
      </c>
      <c r="P26" s="124">
        <v>41</v>
      </c>
      <c r="Q26" s="124">
        <v>38</v>
      </c>
      <c r="R26" s="124">
        <v>36</v>
      </c>
      <c r="S26" s="135">
        <f t="shared" si="3"/>
        <v>0.56088000000000005</v>
      </c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36"/>
      <c r="AN26" s="136"/>
      <c r="AO26" s="136"/>
      <c r="AP26" s="136"/>
      <c r="AQ26" s="136"/>
      <c r="AR26" s="136"/>
      <c r="AS26" s="136"/>
      <c r="AT26" s="136"/>
      <c r="AU26" s="136"/>
      <c r="AV26" s="136"/>
      <c r="AW26" s="136"/>
    </row>
    <row r="27" spans="1:49" s="125" customFormat="1" ht="16.2" customHeight="1">
      <c r="A27" s="149"/>
      <c r="B27" s="150"/>
      <c r="C27" s="120">
        <f t="shared" si="8"/>
        <v>46</v>
      </c>
      <c r="D27" s="121" t="s">
        <v>26</v>
      </c>
      <c r="E27" s="120">
        <f t="shared" si="9"/>
        <v>55</v>
      </c>
      <c r="F27" s="126" t="s">
        <v>134</v>
      </c>
      <c r="G27" s="122" t="s">
        <v>137</v>
      </c>
      <c r="H27" s="122">
        <v>10</v>
      </c>
      <c r="I27" s="122">
        <v>6</v>
      </c>
      <c r="J27" s="123">
        <f t="shared" si="0"/>
        <v>60</v>
      </c>
      <c r="K27" s="151"/>
      <c r="L27" s="124">
        <v>5</v>
      </c>
      <c r="M27" s="124">
        <f t="shared" si="1"/>
        <v>50</v>
      </c>
      <c r="N27" s="124">
        <v>7</v>
      </c>
      <c r="O27" s="124">
        <f t="shared" si="2"/>
        <v>70</v>
      </c>
      <c r="P27" s="124">
        <v>41</v>
      </c>
      <c r="Q27" s="124">
        <v>38</v>
      </c>
      <c r="R27" s="124">
        <v>36</v>
      </c>
      <c r="S27" s="135">
        <f t="shared" si="3"/>
        <v>0.56088000000000005</v>
      </c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6"/>
      <c r="AM27" s="136"/>
      <c r="AN27" s="136"/>
      <c r="AO27" s="136"/>
      <c r="AP27" s="136"/>
      <c r="AQ27" s="136"/>
      <c r="AR27" s="136"/>
      <c r="AS27" s="136"/>
      <c r="AT27" s="136"/>
      <c r="AU27" s="136"/>
      <c r="AV27" s="136"/>
      <c r="AW27" s="136"/>
    </row>
    <row r="28" spans="1:49" s="125" customFormat="1" ht="16.2" customHeight="1">
      <c r="A28" s="149" t="s">
        <v>125</v>
      </c>
      <c r="B28" s="150" t="s">
        <v>124</v>
      </c>
      <c r="C28" s="120">
        <v>1</v>
      </c>
      <c r="D28" s="121" t="s">
        <v>26</v>
      </c>
      <c r="E28" s="120">
        <v>50</v>
      </c>
      <c r="F28" s="126" t="s">
        <v>134</v>
      </c>
      <c r="G28" s="122" t="s">
        <v>135</v>
      </c>
      <c r="H28" s="122">
        <v>50</v>
      </c>
      <c r="I28" s="122">
        <v>6</v>
      </c>
      <c r="J28" s="123">
        <f t="shared" si="0"/>
        <v>300</v>
      </c>
      <c r="K28" s="151">
        <f>SUM(J28:J30)</f>
        <v>420</v>
      </c>
      <c r="L28" s="124">
        <v>5</v>
      </c>
      <c r="M28" s="124">
        <f t="shared" si="1"/>
        <v>250</v>
      </c>
      <c r="N28" s="124">
        <v>7</v>
      </c>
      <c r="O28" s="124">
        <f t="shared" si="2"/>
        <v>350</v>
      </c>
      <c r="P28" s="124">
        <v>41</v>
      </c>
      <c r="Q28" s="124">
        <v>38</v>
      </c>
      <c r="R28" s="124">
        <v>36</v>
      </c>
      <c r="S28" s="135">
        <f t="shared" si="3"/>
        <v>2.8043999999999998</v>
      </c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6"/>
      <c r="AN28" s="136"/>
      <c r="AO28" s="136"/>
      <c r="AP28" s="136"/>
      <c r="AQ28" s="136"/>
      <c r="AR28" s="136"/>
      <c r="AS28" s="136"/>
      <c r="AT28" s="136"/>
      <c r="AU28" s="136"/>
      <c r="AV28" s="136"/>
      <c r="AW28" s="136"/>
    </row>
    <row r="29" spans="1:49" s="125" customFormat="1" ht="16.2" customHeight="1">
      <c r="A29" s="149"/>
      <c r="B29" s="150"/>
      <c r="C29" s="120">
        <f t="shared" si="8"/>
        <v>51</v>
      </c>
      <c r="D29" s="121" t="s">
        <v>26</v>
      </c>
      <c r="E29" s="120">
        <f t="shared" si="9"/>
        <v>60</v>
      </c>
      <c r="F29" s="126" t="s">
        <v>134</v>
      </c>
      <c r="G29" s="122" t="s">
        <v>136</v>
      </c>
      <c r="H29" s="122">
        <v>10</v>
      </c>
      <c r="I29" s="122">
        <v>6</v>
      </c>
      <c r="J29" s="123">
        <f t="shared" si="0"/>
        <v>60</v>
      </c>
      <c r="K29" s="151"/>
      <c r="L29" s="124">
        <v>5</v>
      </c>
      <c r="M29" s="124">
        <f t="shared" si="1"/>
        <v>50</v>
      </c>
      <c r="N29" s="124">
        <v>7</v>
      </c>
      <c r="O29" s="124">
        <f t="shared" si="2"/>
        <v>70</v>
      </c>
      <c r="P29" s="124">
        <v>41</v>
      </c>
      <c r="Q29" s="124">
        <v>38</v>
      </c>
      <c r="R29" s="124">
        <v>36</v>
      </c>
      <c r="S29" s="135">
        <f t="shared" si="3"/>
        <v>0.56088000000000005</v>
      </c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  <c r="AK29" s="136"/>
      <c r="AL29" s="136"/>
      <c r="AM29" s="136"/>
      <c r="AN29" s="136"/>
      <c r="AO29" s="136"/>
      <c r="AP29" s="136"/>
      <c r="AQ29" s="136"/>
      <c r="AR29" s="136"/>
      <c r="AS29" s="136"/>
      <c r="AT29" s="136"/>
      <c r="AU29" s="136"/>
      <c r="AV29" s="136"/>
      <c r="AW29" s="136"/>
    </row>
    <row r="30" spans="1:49" s="125" customFormat="1" ht="16.2" customHeight="1">
      <c r="A30" s="149"/>
      <c r="B30" s="150"/>
      <c r="C30" s="120">
        <f t="shared" si="8"/>
        <v>61</v>
      </c>
      <c r="D30" s="121" t="s">
        <v>26</v>
      </c>
      <c r="E30" s="120">
        <f t="shared" si="9"/>
        <v>70</v>
      </c>
      <c r="F30" s="126" t="s">
        <v>134</v>
      </c>
      <c r="G30" s="122" t="s">
        <v>137</v>
      </c>
      <c r="H30" s="122">
        <v>10</v>
      </c>
      <c r="I30" s="122">
        <v>6</v>
      </c>
      <c r="J30" s="123">
        <f t="shared" si="0"/>
        <v>60</v>
      </c>
      <c r="K30" s="151"/>
      <c r="L30" s="124">
        <v>5</v>
      </c>
      <c r="M30" s="124">
        <f t="shared" si="1"/>
        <v>50</v>
      </c>
      <c r="N30" s="124">
        <v>7</v>
      </c>
      <c r="O30" s="124">
        <f t="shared" si="2"/>
        <v>70</v>
      </c>
      <c r="P30" s="124">
        <v>41</v>
      </c>
      <c r="Q30" s="124">
        <v>38</v>
      </c>
      <c r="R30" s="124">
        <v>36</v>
      </c>
      <c r="S30" s="135">
        <f t="shared" si="3"/>
        <v>0.56088000000000005</v>
      </c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6"/>
      <c r="AM30" s="136"/>
      <c r="AN30" s="136"/>
      <c r="AO30" s="136"/>
      <c r="AP30" s="136"/>
      <c r="AQ30" s="136"/>
      <c r="AR30" s="136"/>
      <c r="AS30" s="136"/>
      <c r="AT30" s="136"/>
      <c r="AU30" s="136"/>
      <c r="AV30" s="136"/>
      <c r="AW30" s="136"/>
    </row>
    <row r="31" spans="1:49" s="125" customFormat="1" ht="16.2" customHeight="1">
      <c r="A31" s="149" t="s">
        <v>138</v>
      </c>
      <c r="B31" s="150" t="s">
        <v>126</v>
      </c>
      <c r="C31" s="120">
        <v>1</v>
      </c>
      <c r="D31" s="121" t="s">
        <v>26</v>
      </c>
      <c r="E31" s="120">
        <v>1</v>
      </c>
      <c r="F31" s="126" t="s">
        <v>134</v>
      </c>
      <c r="G31" s="122">
        <v>7</v>
      </c>
      <c r="H31" s="122">
        <v>1</v>
      </c>
      <c r="I31" s="122">
        <v>12</v>
      </c>
      <c r="J31" s="123">
        <f t="shared" si="0"/>
        <v>12</v>
      </c>
      <c r="K31" s="151">
        <f>SUM(J31:J67)</f>
        <v>687</v>
      </c>
      <c r="L31" s="124">
        <v>8</v>
      </c>
      <c r="M31" s="124">
        <f t="shared" si="1"/>
        <v>8</v>
      </c>
      <c r="N31" s="124">
        <v>12</v>
      </c>
      <c r="O31" s="124">
        <f t="shared" si="2"/>
        <v>12</v>
      </c>
      <c r="P31" s="124">
        <v>74</v>
      </c>
      <c r="Q31" s="124">
        <v>41</v>
      </c>
      <c r="R31" s="124">
        <v>36</v>
      </c>
      <c r="S31" s="135">
        <f t="shared" si="3"/>
        <v>0.109224</v>
      </c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</row>
    <row r="32" spans="1:49" s="125" customFormat="1" ht="16.2" customHeight="1">
      <c r="A32" s="149"/>
      <c r="B32" s="150"/>
      <c r="C32" s="120">
        <f t="shared" ref="C32:C67" si="10">E31+1</f>
        <v>2</v>
      </c>
      <c r="D32" s="121" t="s">
        <v>26</v>
      </c>
      <c r="E32" s="120">
        <f t="shared" ref="E32:E67" si="11">E31+H32</f>
        <v>2</v>
      </c>
      <c r="F32" s="126" t="s">
        <v>134</v>
      </c>
      <c r="G32" s="122">
        <v>7.5</v>
      </c>
      <c r="H32" s="122">
        <v>1</v>
      </c>
      <c r="I32" s="122">
        <v>9</v>
      </c>
      <c r="J32" s="123">
        <f t="shared" si="0"/>
        <v>9</v>
      </c>
      <c r="K32" s="151"/>
      <c r="L32" s="124">
        <v>6</v>
      </c>
      <c r="M32" s="124">
        <f t="shared" si="1"/>
        <v>6</v>
      </c>
      <c r="N32" s="124">
        <v>9</v>
      </c>
      <c r="O32" s="124">
        <f t="shared" si="2"/>
        <v>9</v>
      </c>
      <c r="P32" s="124">
        <v>61</v>
      </c>
      <c r="Q32" s="124">
        <v>38</v>
      </c>
      <c r="R32" s="124">
        <v>36</v>
      </c>
      <c r="S32" s="135">
        <f t="shared" si="3"/>
        <v>8.3447999999999994E-2</v>
      </c>
      <c r="T32" s="136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6"/>
      <c r="AN32" s="136"/>
      <c r="AO32" s="136"/>
      <c r="AP32" s="136"/>
      <c r="AQ32" s="136"/>
      <c r="AR32" s="136"/>
      <c r="AS32" s="136"/>
      <c r="AT32" s="136"/>
      <c r="AU32" s="136"/>
      <c r="AV32" s="136"/>
      <c r="AW32" s="136"/>
    </row>
    <row r="33" spans="1:49" s="125" customFormat="1" ht="16.2" customHeight="1">
      <c r="A33" s="149"/>
      <c r="B33" s="150"/>
      <c r="C33" s="120">
        <f t="shared" si="10"/>
        <v>3</v>
      </c>
      <c r="D33" s="121" t="s">
        <v>26</v>
      </c>
      <c r="E33" s="120">
        <f t="shared" si="11"/>
        <v>3</v>
      </c>
      <c r="F33" s="126" t="s">
        <v>134</v>
      </c>
      <c r="G33" s="122">
        <v>8</v>
      </c>
      <c r="H33" s="122">
        <v>1</v>
      </c>
      <c r="I33" s="122">
        <v>9</v>
      </c>
      <c r="J33" s="123">
        <f t="shared" si="0"/>
        <v>9</v>
      </c>
      <c r="K33" s="151"/>
      <c r="L33" s="124">
        <v>6</v>
      </c>
      <c r="M33" s="124">
        <f t="shared" si="1"/>
        <v>6</v>
      </c>
      <c r="N33" s="124">
        <v>9</v>
      </c>
      <c r="O33" s="124">
        <f t="shared" si="2"/>
        <v>9</v>
      </c>
      <c r="P33" s="124">
        <v>61</v>
      </c>
      <c r="Q33" s="124">
        <v>38</v>
      </c>
      <c r="R33" s="124">
        <v>36</v>
      </c>
      <c r="S33" s="135">
        <f t="shared" si="3"/>
        <v>8.3447999999999994E-2</v>
      </c>
      <c r="T33" s="136"/>
      <c r="U33" s="136"/>
      <c r="V33" s="136"/>
      <c r="W33" s="136"/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136"/>
      <c r="AJ33" s="136"/>
      <c r="AK33" s="136"/>
      <c r="AL33" s="136"/>
      <c r="AM33" s="136"/>
      <c r="AN33" s="136"/>
      <c r="AO33" s="136"/>
      <c r="AP33" s="136"/>
      <c r="AQ33" s="136"/>
      <c r="AR33" s="136"/>
      <c r="AS33" s="136"/>
      <c r="AT33" s="136"/>
      <c r="AU33" s="136"/>
      <c r="AV33" s="136"/>
      <c r="AW33" s="136"/>
    </row>
    <row r="34" spans="1:49" s="125" customFormat="1" ht="16.2" customHeight="1">
      <c r="A34" s="149"/>
      <c r="B34" s="150"/>
      <c r="C34" s="120">
        <f t="shared" si="10"/>
        <v>4</v>
      </c>
      <c r="D34" s="121" t="s">
        <v>26</v>
      </c>
      <c r="E34" s="120">
        <f t="shared" si="11"/>
        <v>4</v>
      </c>
      <c r="F34" s="126" t="s">
        <v>134</v>
      </c>
      <c r="G34" s="122">
        <v>8</v>
      </c>
      <c r="H34" s="122">
        <v>1</v>
      </c>
      <c r="I34" s="122">
        <v>6</v>
      </c>
      <c r="J34" s="123">
        <f t="shared" si="0"/>
        <v>6</v>
      </c>
      <c r="K34" s="151"/>
      <c r="L34" s="124">
        <v>4</v>
      </c>
      <c r="M34" s="124">
        <f t="shared" si="1"/>
        <v>4</v>
      </c>
      <c r="N34" s="124">
        <v>6</v>
      </c>
      <c r="O34" s="124">
        <f t="shared" si="2"/>
        <v>6</v>
      </c>
      <c r="P34" s="124">
        <v>41</v>
      </c>
      <c r="Q34" s="124">
        <v>38</v>
      </c>
      <c r="R34" s="124">
        <v>36</v>
      </c>
      <c r="S34" s="135">
        <f t="shared" si="3"/>
        <v>5.6087999999999999E-2</v>
      </c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  <c r="AR34" s="136"/>
      <c r="AS34" s="136"/>
      <c r="AT34" s="136"/>
      <c r="AU34" s="136"/>
      <c r="AV34" s="136"/>
      <c r="AW34" s="136"/>
    </row>
    <row r="35" spans="1:49" s="125" customFormat="1" ht="16.2" customHeight="1">
      <c r="A35" s="149"/>
      <c r="B35" s="150"/>
      <c r="C35" s="120">
        <f t="shared" si="10"/>
        <v>5</v>
      </c>
      <c r="D35" s="121" t="s">
        <v>26</v>
      </c>
      <c r="E35" s="120">
        <f t="shared" si="11"/>
        <v>6</v>
      </c>
      <c r="F35" s="126" t="s">
        <v>134</v>
      </c>
      <c r="G35" s="122">
        <v>8.5</v>
      </c>
      <c r="H35" s="122">
        <v>2</v>
      </c>
      <c r="I35" s="122">
        <v>9</v>
      </c>
      <c r="J35" s="123">
        <f t="shared" si="0"/>
        <v>18</v>
      </c>
      <c r="K35" s="151"/>
      <c r="L35" s="124">
        <v>6</v>
      </c>
      <c r="M35" s="124">
        <f t="shared" si="1"/>
        <v>12</v>
      </c>
      <c r="N35" s="124">
        <v>9</v>
      </c>
      <c r="O35" s="124">
        <f t="shared" si="2"/>
        <v>18</v>
      </c>
      <c r="P35" s="124">
        <v>61</v>
      </c>
      <c r="Q35" s="124">
        <v>38</v>
      </c>
      <c r="R35" s="124">
        <v>36</v>
      </c>
      <c r="S35" s="135">
        <f t="shared" si="3"/>
        <v>0.16689599999999999</v>
      </c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136"/>
      <c r="AN35" s="136"/>
      <c r="AO35" s="136"/>
      <c r="AP35" s="136"/>
      <c r="AQ35" s="136"/>
      <c r="AR35" s="136"/>
      <c r="AS35" s="136"/>
      <c r="AT35" s="136"/>
      <c r="AU35" s="136"/>
      <c r="AV35" s="136"/>
      <c r="AW35" s="136"/>
    </row>
    <row r="36" spans="1:49" s="125" customFormat="1" ht="16.2" customHeight="1">
      <c r="A36" s="149"/>
      <c r="B36" s="150"/>
      <c r="C36" s="120">
        <f t="shared" si="10"/>
        <v>7</v>
      </c>
      <c r="D36" s="121" t="s">
        <v>26</v>
      </c>
      <c r="E36" s="120">
        <f t="shared" si="11"/>
        <v>8</v>
      </c>
      <c r="F36" s="126" t="s">
        <v>134</v>
      </c>
      <c r="G36" s="122">
        <v>9</v>
      </c>
      <c r="H36" s="122">
        <v>2</v>
      </c>
      <c r="I36" s="122">
        <v>12</v>
      </c>
      <c r="J36" s="123">
        <f t="shared" si="0"/>
        <v>24</v>
      </c>
      <c r="K36" s="151"/>
      <c r="L36" s="124">
        <v>8</v>
      </c>
      <c r="M36" s="124">
        <f t="shared" si="1"/>
        <v>16</v>
      </c>
      <c r="N36" s="124">
        <v>12</v>
      </c>
      <c r="O36" s="124">
        <f t="shared" si="2"/>
        <v>24</v>
      </c>
      <c r="P36" s="124">
        <v>74</v>
      </c>
      <c r="Q36" s="124">
        <v>41</v>
      </c>
      <c r="R36" s="124">
        <v>36</v>
      </c>
      <c r="S36" s="135">
        <f t="shared" si="3"/>
        <v>0.218448</v>
      </c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</row>
    <row r="37" spans="1:49" s="125" customFormat="1" ht="16.2" customHeight="1">
      <c r="A37" s="149"/>
      <c r="B37" s="150"/>
      <c r="C37" s="120">
        <f t="shared" si="10"/>
        <v>9</v>
      </c>
      <c r="D37" s="121" t="s">
        <v>26</v>
      </c>
      <c r="E37" s="120">
        <f t="shared" si="11"/>
        <v>10</v>
      </c>
      <c r="F37" s="126" t="s">
        <v>134</v>
      </c>
      <c r="G37" s="122">
        <v>9.5</v>
      </c>
      <c r="H37" s="122">
        <v>2</v>
      </c>
      <c r="I37" s="122">
        <v>9</v>
      </c>
      <c r="J37" s="123">
        <f t="shared" si="0"/>
        <v>18</v>
      </c>
      <c r="K37" s="151"/>
      <c r="L37" s="124">
        <v>6</v>
      </c>
      <c r="M37" s="124">
        <f t="shared" si="1"/>
        <v>12</v>
      </c>
      <c r="N37" s="124">
        <v>9</v>
      </c>
      <c r="O37" s="124">
        <f t="shared" si="2"/>
        <v>18</v>
      </c>
      <c r="P37" s="124">
        <v>61</v>
      </c>
      <c r="Q37" s="124">
        <v>38</v>
      </c>
      <c r="R37" s="124">
        <v>36</v>
      </c>
      <c r="S37" s="135">
        <f t="shared" si="3"/>
        <v>0.16689599999999999</v>
      </c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</row>
    <row r="38" spans="1:49" s="125" customFormat="1" ht="16.2" customHeight="1">
      <c r="A38" s="149"/>
      <c r="B38" s="150"/>
      <c r="C38" s="120">
        <f t="shared" si="10"/>
        <v>11</v>
      </c>
      <c r="D38" s="121" t="s">
        <v>26</v>
      </c>
      <c r="E38" s="120">
        <f t="shared" si="11"/>
        <v>13</v>
      </c>
      <c r="F38" s="126" t="s">
        <v>134</v>
      </c>
      <c r="G38" s="122">
        <v>10</v>
      </c>
      <c r="H38" s="122">
        <v>3</v>
      </c>
      <c r="I38" s="122">
        <v>12</v>
      </c>
      <c r="J38" s="123">
        <f t="shared" si="0"/>
        <v>36</v>
      </c>
      <c r="K38" s="151"/>
      <c r="L38" s="124">
        <v>8</v>
      </c>
      <c r="M38" s="124">
        <f t="shared" si="1"/>
        <v>24</v>
      </c>
      <c r="N38" s="124">
        <v>12</v>
      </c>
      <c r="O38" s="124">
        <f t="shared" si="2"/>
        <v>36</v>
      </c>
      <c r="P38" s="124">
        <v>74</v>
      </c>
      <c r="Q38" s="124">
        <v>41</v>
      </c>
      <c r="R38" s="124">
        <v>36</v>
      </c>
      <c r="S38" s="135">
        <f t="shared" si="3"/>
        <v>0.32767200000000002</v>
      </c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</row>
    <row r="39" spans="1:49" s="125" customFormat="1" ht="16.2" customHeight="1">
      <c r="A39" s="149"/>
      <c r="B39" s="150"/>
      <c r="C39" s="120">
        <f t="shared" si="10"/>
        <v>14</v>
      </c>
      <c r="D39" s="121" t="s">
        <v>26</v>
      </c>
      <c r="E39" s="120">
        <f t="shared" si="11"/>
        <v>15</v>
      </c>
      <c r="F39" s="126" t="s">
        <v>134</v>
      </c>
      <c r="G39" s="122">
        <v>10.5</v>
      </c>
      <c r="H39" s="122">
        <v>2</v>
      </c>
      <c r="I39" s="122">
        <v>12</v>
      </c>
      <c r="J39" s="123">
        <f t="shared" si="0"/>
        <v>24</v>
      </c>
      <c r="K39" s="151"/>
      <c r="L39" s="124">
        <v>8</v>
      </c>
      <c r="M39" s="124">
        <f t="shared" si="1"/>
        <v>16</v>
      </c>
      <c r="N39" s="124">
        <v>12</v>
      </c>
      <c r="O39" s="124">
        <f t="shared" si="2"/>
        <v>24</v>
      </c>
      <c r="P39" s="124">
        <v>74</v>
      </c>
      <c r="Q39" s="124">
        <v>41</v>
      </c>
      <c r="R39" s="124">
        <v>36</v>
      </c>
      <c r="S39" s="135">
        <f t="shared" si="3"/>
        <v>0.218448</v>
      </c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36"/>
    </row>
    <row r="40" spans="1:49" s="125" customFormat="1" ht="16.2" customHeight="1">
      <c r="A40" s="149"/>
      <c r="B40" s="150"/>
      <c r="C40" s="120">
        <f t="shared" si="10"/>
        <v>16</v>
      </c>
      <c r="D40" s="121" t="s">
        <v>26</v>
      </c>
      <c r="E40" s="120">
        <f t="shared" si="11"/>
        <v>18</v>
      </c>
      <c r="F40" s="126" t="s">
        <v>134</v>
      </c>
      <c r="G40" s="122">
        <v>11</v>
      </c>
      <c r="H40" s="122">
        <v>3</v>
      </c>
      <c r="I40" s="122">
        <v>12</v>
      </c>
      <c r="J40" s="123">
        <f t="shared" si="0"/>
        <v>36</v>
      </c>
      <c r="K40" s="151"/>
      <c r="L40" s="124">
        <v>8</v>
      </c>
      <c r="M40" s="124">
        <f t="shared" si="1"/>
        <v>24</v>
      </c>
      <c r="N40" s="124">
        <v>12</v>
      </c>
      <c r="O40" s="124">
        <f t="shared" si="2"/>
        <v>36</v>
      </c>
      <c r="P40" s="124">
        <v>74</v>
      </c>
      <c r="Q40" s="124">
        <v>41</v>
      </c>
      <c r="R40" s="124">
        <v>36</v>
      </c>
      <c r="S40" s="135">
        <f t="shared" si="3"/>
        <v>0.32767200000000002</v>
      </c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36"/>
      <c r="AK40" s="136"/>
      <c r="AL40" s="136"/>
      <c r="AM40" s="136"/>
      <c r="AN40" s="136"/>
      <c r="AO40" s="136"/>
      <c r="AP40" s="136"/>
      <c r="AQ40" s="136"/>
      <c r="AR40" s="136"/>
      <c r="AS40" s="136"/>
      <c r="AT40" s="136"/>
      <c r="AU40" s="136"/>
      <c r="AV40" s="136"/>
      <c r="AW40" s="136"/>
    </row>
    <row r="41" spans="1:49" s="125" customFormat="1" ht="16.2" customHeight="1">
      <c r="A41" s="149"/>
      <c r="B41" s="150"/>
      <c r="C41" s="120">
        <f t="shared" si="10"/>
        <v>19</v>
      </c>
      <c r="D41" s="121" t="s">
        <v>26</v>
      </c>
      <c r="E41" s="120">
        <f t="shared" si="11"/>
        <v>21</v>
      </c>
      <c r="F41" s="126" t="s">
        <v>134</v>
      </c>
      <c r="G41" s="122">
        <v>12</v>
      </c>
      <c r="H41" s="122">
        <v>3</v>
      </c>
      <c r="I41" s="122">
        <v>12</v>
      </c>
      <c r="J41" s="123">
        <f t="shared" si="0"/>
        <v>36</v>
      </c>
      <c r="K41" s="151"/>
      <c r="L41" s="124">
        <v>8</v>
      </c>
      <c r="M41" s="124">
        <f t="shared" si="1"/>
        <v>24</v>
      </c>
      <c r="N41" s="124">
        <v>12</v>
      </c>
      <c r="O41" s="124">
        <f t="shared" si="2"/>
        <v>36</v>
      </c>
      <c r="P41" s="124">
        <v>74</v>
      </c>
      <c r="Q41" s="124">
        <v>41</v>
      </c>
      <c r="R41" s="124">
        <v>36</v>
      </c>
      <c r="S41" s="135">
        <f t="shared" si="3"/>
        <v>0.32767200000000002</v>
      </c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  <c r="AK41" s="136"/>
      <c r="AL41" s="136"/>
      <c r="AM41" s="136"/>
      <c r="AN41" s="136"/>
      <c r="AO41" s="136"/>
      <c r="AP41" s="136"/>
      <c r="AQ41" s="136"/>
      <c r="AR41" s="136"/>
      <c r="AS41" s="136"/>
      <c r="AT41" s="136"/>
      <c r="AU41" s="136"/>
      <c r="AV41" s="136"/>
      <c r="AW41" s="136"/>
    </row>
    <row r="42" spans="1:49" s="125" customFormat="1" ht="16.2" customHeight="1">
      <c r="A42" s="149"/>
      <c r="B42" s="150"/>
      <c r="C42" s="120">
        <f t="shared" si="10"/>
        <v>22</v>
      </c>
      <c r="D42" s="121" t="s">
        <v>26</v>
      </c>
      <c r="E42" s="120">
        <f t="shared" si="11"/>
        <v>23</v>
      </c>
      <c r="F42" s="126" t="s">
        <v>134</v>
      </c>
      <c r="G42" s="122">
        <v>13</v>
      </c>
      <c r="H42" s="122">
        <v>2</v>
      </c>
      <c r="I42" s="122">
        <v>12</v>
      </c>
      <c r="J42" s="123">
        <f t="shared" si="0"/>
        <v>24</v>
      </c>
      <c r="K42" s="151"/>
      <c r="L42" s="124">
        <v>8</v>
      </c>
      <c r="M42" s="124">
        <f t="shared" si="1"/>
        <v>16</v>
      </c>
      <c r="N42" s="124">
        <v>12</v>
      </c>
      <c r="O42" s="124">
        <f t="shared" si="2"/>
        <v>24</v>
      </c>
      <c r="P42" s="124">
        <v>74</v>
      </c>
      <c r="Q42" s="124">
        <v>41</v>
      </c>
      <c r="R42" s="124">
        <v>37</v>
      </c>
      <c r="S42" s="135">
        <f t="shared" si="3"/>
        <v>0.22451599999999999</v>
      </c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  <c r="AK42" s="136"/>
      <c r="AL42" s="136"/>
      <c r="AM42" s="136"/>
      <c r="AN42" s="136"/>
      <c r="AO42" s="136"/>
      <c r="AP42" s="136"/>
      <c r="AQ42" s="136"/>
      <c r="AR42" s="136"/>
      <c r="AS42" s="136"/>
      <c r="AT42" s="136"/>
      <c r="AU42" s="136"/>
      <c r="AV42" s="136"/>
      <c r="AW42" s="136"/>
    </row>
    <row r="43" spans="1:49" s="125" customFormat="1" ht="16.2" customHeight="1">
      <c r="A43" s="149"/>
      <c r="B43" s="150"/>
      <c r="C43" s="120">
        <f t="shared" si="10"/>
        <v>24</v>
      </c>
      <c r="D43" s="121" t="s">
        <v>26</v>
      </c>
      <c r="E43" s="120">
        <f t="shared" si="11"/>
        <v>24</v>
      </c>
      <c r="F43" s="126" t="s">
        <v>139</v>
      </c>
      <c r="G43" s="122">
        <v>7</v>
      </c>
      <c r="H43" s="122">
        <v>1</v>
      </c>
      <c r="I43" s="122">
        <v>12</v>
      </c>
      <c r="J43" s="123">
        <f t="shared" si="0"/>
        <v>12</v>
      </c>
      <c r="K43" s="151"/>
      <c r="L43" s="124">
        <v>8</v>
      </c>
      <c r="M43" s="124">
        <f t="shared" si="1"/>
        <v>8</v>
      </c>
      <c r="N43" s="124">
        <v>12</v>
      </c>
      <c r="O43" s="124">
        <f t="shared" si="2"/>
        <v>12</v>
      </c>
      <c r="P43" s="124">
        <v>74</v>
      </c>
      <c r="Q43" s="124">
        <v>41</v>
      </c>
      <c r="R43" s="124">
        <v>36</v>
      </c>
      <c r="S43" s="135">
        <f t="shared" si="3"/>
        <v>0.109224</v>
      </c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6"/>
      <c r="AU43" s="136"/>
      <c r="AV43" s="136"/>
      <c r="AW43" s="136"/>
    </row>
    <row r="44" spans="1:49" s="125" customFormat="1" ht="16.2" customHeight="1">
      <c r="A44" s="149"/>
      <c r="B44" s="150"/>
      <c r="C44" s="120">
        <f t="shared" si="10"/>
        <v>25</v>
      </c>
      <c r="D44" s="121" t="s">
        <v>26</v>
      </c>
      <c r="E44" s="120">
        <f t="shared" si="11"/>
        <v>25</v>
      </c>
      <c r="F44" s="126" t="s">
        <v>139</v>
      </c>
      <c r="G44" s="122">
        <v>7.5</v>
      </c>
      <c r="H44" s="122">
        <v>1</v>
      </c>
      <c r="I44" s="122">
        <v>9</v>
      </c>
      <c r="J44" s="123">
        <f t="shared" si="0"/>
        <v>9</v>
      </c>
      <c r="K44" s="151"/>
      <c r="L44" s="124">
        <v>6</v>
      </c>
      <c r="M44" s="124">
        <f t="shared" si="1"/>
        <v>6</v>
      </c>
      <c r="N44" s="124">
        <v>9</v>
      </c>
      <c r="O44" s="124">
        <f t="shared" si="2"/>
        <v>9</v>
      </c>
      <c r="P44" s="124">
        <v>61</v>
      </c>
      <c r="Q44" s="124">
        <v>38</v>
      </c>
      <c r="R44" s="124">
        <v>36</v>
      </c>
      <c r="S44" s="135">
        <f t="shared" si="3"/>
        <v>8.3447999999999994E-2</v>
      </c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</row>
    <row r="45" spans="1:49" s="125" customFormat="1" ht="16.2" customHeight="1">
      <c r="A45" s="149"/>
      <c r="B45" s="150"/>
      <c r="C45" s="120">
        <f t="shared" si="10"/>
        <v>26</v>
      </c>
      <c r="D45" s="121" t="s">
        <v>26</v>
      </c>
      <c r="E45" s="120">
        <f t="shared" si="11"/>
        <v>26</v>
      </c>
      <c r="F45" s="126" t="s">
        <v>139</v>
      </c>
      <c r="G45" s="122">
        <v>8</v>
      </c>
      <c r="H45" s="122">
        <v>1</v>
      </c>
      <c r="I45" s="122">
        <v>9</v>
      </c>
      <c r="J45" s="123">
        <f t="shared" si="0"/>
        <v>9</v>
      </c>
      <c r="K45" s="151"/>
      <c r="L45" s="124">
        <v>6</v>
      </c>
      <c r="M45" s="124">
        <f t="shared" si="1"/>
        <v>6</v>
      </c>
      <c r="N45" s="124">
        <v>9</v>
      </c>
      <c r="O45" s="124">
        <f t="shared" si="2"/>
        <v>9</v>
      </c>
      <c r="P45" s="124">
        <v>61</v>
      </c>
      <c r="Q45" s="124">
        <v>38</v>
      </c>
      <c r="R45" s="124">
        <v>36</v>
      </c>
      <c r="S45" s="135">
        <f t="shared" si="3"/>
        <v>8.3447999999999994E-2</v>
      </c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</row>
    <row r="46" spans="1:49" s="125" customFormat="1" ht="16.2" customHeight="1">
      <c r="A46" s="149"/>
      <c r="B46" s="150"/>
      <c r="C46" s="120">
        <f t="shared" si="10"/>
        <v>27</v>
      </c>
      <c r="D46" s="121" t="s">
        <v>26</v>
      </c>
      <c r="E46" s="120">
        <f t="shared" si="11"/>
        <v>27</v>
      </c>
      <c r="F46" s="126" t="s">
        <v>139</v>
      </c>
      <c r="G46" s="122">
        <v>8</v>
      </c>
      <c r="H46" s="122">
        <v>1</v>
      </c>
      <c r="I46" s="122">
        <v>6</v>
      </c>
      <c r="J46" s="123">
        <f t="shared" si="0"/>
        <v>6</v>
      </c>
      <c r="K46" s="151"/>
      <c r="L46" s="124">
        <v>4</v>
      </c>
      <c r="M46" s="124">
        <f t="shared" si="1"/>
        <v>4</v>
      </c>
      <c r="N46" s="124">
        <v>6</v>
      </c>
      <c r="O46" s="124">
        <f t="shared" si="2"/>
        <v>6</v>
      </c>
      <c r="P46" s="124">
        <v>41</v>
      </c>
      <c r="Q46" s="124">
        <v>38</v>
      </c>
      <c r="R46" s="124">
        <v>36</v>
      </c>
      <c r="S46" s="135">
        <f t="shared" si="3"/>
        <v>5.6087999999999999E-2</v>
      </c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</row>
    <row r="47" spans="1:49" s="125" customFormat="1" ht="16.2" customHeight="1">
      <c r="A47" s="149"/>
      <c r="B47" s="150"/>
      <c r="C47" s="120">
        <f t="shared" si="10"/>
        <v>28</v>
      </c>
      <c r="D47" s="121" t="s">
        <v>26</v>
      </c>
      <c r="E47" s="120">
        <f t="shared" si="11"/>
        <v>29</v>
      </c>
      <c r="F47" s="126" t="s">
        <v>139</v>
      </c>
      <c r="G47" s="122">
        <v>8.5</v>
      </c>
      <c r="H47" s="122">
        <v>2</v>
      </c>
      <c r="I47" s="122">
        <v>9</v>
      </c>
      <c r="J47" s="123">
        <f t="shared" si="0"/>
        <v>18</v>
      </c>
      <c r="K47" s="151"/>
      <c r="L47" s="124">
        <v>6</v>
      </c>
      <c r="M47" s="124">
        <f t="shared" si="1"/>
        <v>12</v>
      </c>
      <c r="N47" s="124">
        <v>9</v>
      </c>
      <c r="O47" s="124">
        <f t="shared" si="2"/>
        <v>18</v>
      </c>
      <c r="P47" s="124">
        <v>61</v>
      </c>
      <c r="Q47" s="124">
        <v>38</v>
      </c>
      <c r="R47" s="124">
        <v>36</v>
      </c>
      <c r="S47" s="135">
        <f t="shared" si="3"/>
        <v>0.16689599999999999</v>
      </c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</row>
    <row r="48" spans="1:49" s="125" customFormat="1" ht="16.2" customHeight="1">
      <c r="A48" s="149"/>
      <c r="B48" s="150"/>
      <c r="C48" s="120">
        <f t="shared" si="10"/>
        <v>30</v>
      </c>
      <c r="D48" s="121" t="s">
        <v>26</v>
      </c>
      <c r="E48" s="120">
        <f t="shared" si="11"/>
        <v>31</v>
      </c>
      <c r="F48" s="126" t="s">
        <v>139</v>
      </c>
      <c r="G48" s="122">
        <v>9</v>
      </c>
      <c r="H48" s="122">
        <v>2</v>
      </c>
      <c r="I48" s="122">
        <v>12</v>
      </c>
      <c r="J48" s="123">
        <f t="shared" si="0"/>
        <v>24</v>
      </c>
      <c r="K48" s="151"/>
      <c r="L48" s="124">
        <v>8</v>
      </c>
      <c r="M48" s="124">
        <f t="shared" si="1"/>
        <v>16</v>
      </c>
      <c r="N48" s="124">
        <v>12</v>
      </c>
      <c r="O48" s="124">
        <f t="shared" si="2"/>
        <v>24</v>
      </c>
      <c r="P48" s="124">
        <v>74</v>
      </c>
      <c r="Q48" s="124">
        <v>41</v>
      </c>
      <c r="R48" s="124">
        <v>36</v>
      </c>
      <c r="S48" s="135">
        <f t="shared" si="3"/>
        <v>0.218448</v>
      </c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</row>
    <row r="49" spans="1:49" s="125" customFormat="1" ht="16.2" customHeight="1">
      <c r="A49" s="149"/>
      <c r="B49" s="150"/>
      <c r="C49" s="120">
        <f t="shared" si="10"/>
        <v>32</v>
      </c>
      <c r="D49" s="121" t="s">
        <v>26</v>
      </c>
      <c r="E49" s="120">
        <f t="shared" si="11"/>
        <v>33</v>
      </c>
      <c r="F49" s="126" t="s">
        <v>139</v>
      </c>
      <c r="G49" s="122">
        <v>9.5</v>
      </c>
      <c r="H49" s="122">
        <v>2</v>
      </c>
      <c r="I49" s="122">
        <v>9</v>
      </c>
      <c r="J49" s="123">
        <f t="shared" si="0"/>
        <v>18</v>
      </c>
      <c r="K49" s="151"/>
      <c r="L49" s="124">
        <v>6</v>
      </c>
      <c r="M49" s="124">
        <f t="shared" si="1"/>
        <v>12</v>
      </c>
      <c r="N49" s="124">
        <v>9</v>
      </c>
      <c r="O49" s="124">
        <f t="shared" si="2"/>
        <v>18</v>
      </c>
      <c r="P49" s="124">
        <v>61</v>
      </c>
      <c r="Q49" s="124">
        <v>38</v>
      </c>
      <c r="R49" s="124">
        <v>36</v>
      </c>
      <c r="S49" s="135">
        <f t="shared" si="3"/>
        <v>0.16689599999999999</v>
      </c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</row>
    <row r="50" spans="1:49" s="125" customFormat="1" ht="16.2" customHeight="1">
      <c r="A50" s="149"/>
      <c r="B50" s="150"/>
      <c r="C50" s="120">
        <f t="shared" si="10"/>
        <v>34</v>
      </c>
      <c r="D50" s="121" t="s">
        <v>26</v>
      </c>
      <c r="E50" s="120">
        <f t="shared" si="11"/>
        <v>36</v>
      </c>
      <c r="F50" s="126" t="s">
        <v>139</v>
      </c>
      <c r="G50" s="122">
        <v>10</v>
      </c>
      <c r="H50" s="122">
        <v>3</v>
      </c>
      <c r="I50" s="122">
        <v>12</v>
      </c>
      <c r="J50" s="123">
        <f t="shared" si="0"/>
        <v>36</v>
      </c>
      <c r="K50" s="151"/>
      <c r="L50" s="124">
        <v>8</v>
      </c>
      <c r="M50" s="124">
        <f t="shared" si="1"/>
        <v>24</v>
      </c>
      <c r="N50" s="124">
        <v>12</v>
      </c>
      <c r="O50" s="124">
        <f t="shared" si="2"/>
        <v>36</v>
      </c>
      <c r="P50" s="124">
        <v>74</v>
      </c>
      <c r="Q50" s="124">
        <v>41</v>
      </c>
      <c r="R50" s="124">
        <v>36</v>
      </c>
      <c r="S50" s="135">
        <f t="shared" si="3"/>
        <v>0.32767200000000002</v>
      </c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</row>
    <row r="51" spans="1:49" s="125" customFormat="1" ht="16.2" customHeight="1">
      <c r="A51" s="149"/>
      <c r="B51" s="150"/>
      <c r="C51" s="120">
        <f t="shared" si="10"/>
        <v>37</v>
      </c>
      <c r="D51" s="121" t="s">
        <v>26</v>
      </c>
      <c r="E51" s="120">
        <f t="shared" si="11"/>
        <v>38</v>
      </c>
      <c r="F51" s="126" t="s">
        <v>139</v>
      </c>
      <c r="G51" s="122">
        <v>10.5</v>
      </c>
      <c r="H51" s="122">
        <v>2</v>
      </c>
      <c r="I51" s="122">
        <v>12</v>
      </c>
      <c r="J51" s="123">
        <f t="shared" si="0"/>
        <v>24</v>
      </c>
      <c r="K51" s="151"/>
      <c r="L51" s="124">
        <v>8</v>
      </c>
      <c r="M51" s="124">
        <f t="shared" si="1"/>
        <v>16</v>
      </c>
      <c r="N51" s="124">
        <v>12</v>
      </c>
      <c r="O51" s="124">
        <f t="shared" si="2"/>
        <v>24</v>
      </c>
      <c r="P51" s="124">
        <v>74</v>
      </c>
      <c r="Q51" s="124">
        <v>41</v>
      </c>
      <c r="R51" s="124">
        <v>36</v>
      </c>
      <c r="S51" s="135">
        <f t="shared" si="3"/>
        <v>0.218448</v>
      </c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</row>
    <row r="52" spans="1:49" s="125" customFormat="1" ht="16.2" customHeight="1">
      <c r="A52" s="149"/>
      <c r="B52" s="150"/>
      <c r="C52" s="120">
        <f t="shared" si="10"/>
        <v>39</v>
      </c>
      <c r="D52" s="121" t="s">
        <v>26</v>
      </c>
      <c r="E52" s="120">
        <f t="shared" si="11"/>
        <v>41</v>
      </c>
      <c r="F52" s="126" t="s">
        <v>139</v>
      </c>
      <c r="G52" s="122">
        <v>11</v>
      </c>
      <c r="H52" s="122">
        <v>3</v>
      </c>
      <c r="I52" s="122">
        <v>12</v>
      </c>
      <c r="J52" s="123">
        <f t="shared" si="0"/>
        <v>36</v>
      </c>
      <c r="K52" s="151"/>
      <c r="L52" s="124">
        <v>8</v>
      </c>
      <c r="M52" s="124">
        <f t="shared" si="1"/>
        <v>24</v>
      </c>
      <c r="N52" s="124">
        <v>12</v>
      </c>
      <c r="O52" s="124">
        <f t="shared" si="2"/>
        <v>36</v>
      </c>
      <c r="P52" s="124">
        <v>74</v>
      </c>
      <c r="Q52" s="124">
        <v>41</v>
      </c>
      <c r="R52" s="124">
        <v>36</v>
      </c>
      <c r="S52" s="135">
        <f t="shared" si="3"/>
        <v>0.32767200000000002</v>
      </c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</row>
    <row r="53" spans="1:49" s="125" customFormat="1" ht="16.2" customHeight="1">
      <c r="A53" s="149"/>
      <c r="B53" s="150"/>
      <c r="C53" s="120">
        <f t="shared" si="10"/>
        <v>42</v>
      </c>
      <c r="D53" s="121" t="s">
        <v>26</v>
      </c>
      <c r="E53" s="120">
        <f t="shared" si="11"/>
        <v>44</v>
      </c>
      <c r="F53" s="126" t="s">
        <v>139</v>
      </c>
      <c r="G53" s="122">
        <v>12</v>
      </c>
      <c r="H53" s="122">
        <v>3</v>
      </c>
      <c r="I53" s="122">
        <v>12</v>
      </c>
      <c r="J53" s="123">
        <f t="shared" si="0"/>
        <v>36</v>
      </c>
      <c r="K53" s="151"/>
      <c r="L53" s="124">
        <v>8</v>
      </c>
      <c r="M53" s="124">
        <f t="shared" si="1"/>
        <v>24</v>
      </c>
      <c r="N53" s="124">
        <v>12</v>
      </c>
      <c r="O53" s="124">
        <f t="shared" si="2"/>
        <v>36</v>
      </c>
      <c r="P53" s="124">
        <v>74</v>
      </c>
      <c r="Q53" s="124">
        <v>41</v>
      </c>
      <c r="R53" s="124">
        <v>36</v>
      </c>
      <c r="S53" s="135">
        <f t="shared" si="3"/>
        <v>0.32767200000000002</v>
      </c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</row>
    <row r="54" spans="1:49" s="125" customFormat="1" ht="16.2" customHeight="1">
      <c r="A54" s="149"/>
      <c r="B54" s="150"/>
      <c r="C54" s="120">
        <f t="shared" si="10"/>
        <v>45</v>
      </c>
      <c r="D54" s="121" t="s">
        <v>26</v>
      </c>
      <c r="E54" s="120">
        <f t="shared" si="11"/>
        <v>46</v>
      </c>
      <c r="F54" s="126" t="s">
        <v>139</v>
      </c>
      <c r="G54" s="122">
        <v>13</v>
      </c>
      <c r="H54" s="122">
        <v>2</v>
      </c>
      <c r="I54" s="122">
        <v>12</v>
      </c>
      <c r="J54" s="123">
        <f t="shared" si="0"/>
        <v>24</v>
      </c>
      <c r="K54" s="151"/>
      <c r="L54" s="124">
        <v>8</v>
      </c>
      <c r="M54" s="124">
        <f t="shared" si="1"/>
        <v>16</v>
      </c>
      <c r="N54" s="124">
        <v>12</v>
      </c>
      <c r="O54" s="124">
        <f t="shared" si="2"/>
        <v>24</v>
      </c>
      <c r="P54" s="124">
        <v>74</v>
      </c>
      <c r="Q54" s="124">
        <v>41</v>
      </c>
      <c r="R54" s="124">
        <v>36</v>
      </c>
      <c r="S54" s="135">
        <f t="shared" si="3"/>
        <v>0.218448</v>
      </c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</row>
    <row r="55" spans="1:49" s="125" customFormat="1" ht="16.2" customHeight="1">
      <c r="A55" s="149"/>
      <c r="B55" s="150"/>
      <c r="C55" s="120">
        <f t="shared" si="10"/>
        <v>47</v>
      </c>
      <c r="D55" s="121" t="s">
        <v>26</v>
      </c>
      <c r="E55" s="120">
        <f t="shared" si="11"/>
        <v>47</v>
      </c>
      <c r="F55" s="120" t="s">
        <v>140</v>
      </c>
      <c r="G55" s="122">
        <v>7</v>
      </c>
      <c r="H55" s="122">
        <v>1</v>
      </c>
      <c r="I55" s="122">
        <v>9</v>
      </c>
      <c r="J55" s="123">
        <f t="shared" si="0"/>
        <v>9</v>
      </c>
      <c r="K55" s="151"/>
      <c r="L55" s="124">
        <v>6</v>
      </c>
      <c r="M55" s="124">
        <f t="shared" si="1"/>
        <v>6</v>
      </c>
      <c r="N55" s="124">
        <v>9</v>
      </c>
      <c r="O55" s="124">
        <f t="shared" si="2"/>
        <v>9</v>
      </c>
      <c r="P55" s="124">
        <v>61</v>
      </c>
      <c r="Q55" s="124">
        <v>38</v>
      </c>
      <c r="R55" s="124">
        <v>36</v>
      </c>
      <c r="S55" s="135">
        <f t="shared" si="3"/>
        <v>8.3447999999999994E-2</v>
      </c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</row>
    <row r="56" spans="1:49" s="125" customFormat="1" ht="16.2" customHeight="1">
      <c r="A56" s="149"/>
      <c r="B56" s="150"/>
      <c r="C56" s="120">
        <f t="shared" si="10"/>
        <v>48</v>
      </c>
      <c r="D56" s="121" t="s">
        <v>26</v>
      </c>
      <c r="E56" s="120">
        <f t="shared" si="11"/>
        <v>48</v>
      </c>
      <c r="F56" s="120" t="s">
        <v>140</v>
      </c>
      <c r="G56" s="122">
        <v>7.5</v>
      </c>
      <c r="H56" s="122">
        <v>1</v>
      </c>
      <c r="I56" s="122">
        <v>6</v>
      </c>
      <c r="J56" s="123">
        <f t="shared" si="0"/>
        <v>6</v>
      </c>
      <c r="K56" s="151"/>
      <c r="L56" s="124">
        <v>4</v>
      </c>
      <c r="M56" s="124">
        <f t="shared" si="1"/>
        <v>4</v>
      </c>
      <c r="N56" s="124">
        <v>6</v>
      </c>
      <c r="O56" s="124">
        <f t="shared" si="2"/>
        <v>6</v>
      </c>
      <c r="P56" s="124">
        <v>41</v>
      </c>
      <c r="Q56" s="124">
        <v>38</v>
      </c>
      <c r="R56" s="124">
        <v>36</v>
      </c>
      <c r="S56" s="135">
        <f t="shared" si="3"/>
        <v>5.6087999999999999E-2</v>
      </c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</row>
    <row r="57" spans="1:49" s="125" customFormat="1" ht="16.2" customHeight="1">
      <c r="A57" s="149"/>
      <c r="B57" s="150"/>
      <c r="C57" s="120">
        <f t="shared" si="10"/>
        <v>49</v>
      </c>
      <c r="D57" s="121" t="s">
        <v>26</v>
      </c>
      <c r="E57" s="120">
        <f t="shared" si="11"/>
        <v>49</v>
      </c>
      <c r="F57" s="120" t="s">
        <v>140</v>
      </c>
      <c r="G57" s="122">
        <v>8</v>
      </c>
      <c r="H57" s="122">
        <v>1</v>
      </c>
      <c r="I57" s="122">
        <v>12</v>
      </c>
      <c r="J57" s="123">
        <f t="shared" si="0"/>
        <v>12</v>
      </c>
      <c r="K57" s="151"/>
      <c r="L57" s="124">
        <v>8</v>
      </c>
      <c r="M57" s="124">
        <f t="shared" si="1"/>
        <v>8</v>
      </c>
      <c r="N57" s="124">
        <v>12</v>
      </c>
      <c r="O57" s="124">
        <f t="shared" si="2"/>
        <v>12</v>
      </c>
      <c r="P57" s="124">
        <v>74</v>
      </c>
      <c r="Q57" s="124">
        <v>41</v>
      </c>
      <c r="R57" s="124">
        <v>36</v>
      </c>
      <c r="S57" s="135">
        <f t="shared" si="3"/>
        <v>0.109224</v>
      </c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</row>
    <row r="58" spans="1:49" s="125" customFormat="1" ht="16.2" customHeight="1">
      <c r="A58" s="149"/>
      <c r="B58" s="150"/>
      <c r="C58" s="120">
        <f t="shared" si="10"/>
        <v>50</v>
      </c>
      <c r="D58" s="121" t="s">
        <v>26</v>
      </c>
      <c r="E58" s="120">
        <f t="shared" si="11"/>
        <v>50</v>
      </c>
      <c r="F58" s="120" t="s">
        <v>140</v>
      </c>
      <c r="G58" s="122">
        <v>8.5</v>
      </c>
      <c r="H58" s="122">
        <v>1</v>
      </c>
      <c r="I58" s="122">
        <v>9</v>
      </c>
      <c r="J58" s="123">
        <f t="shared" si="0"/>
        <v>9</v>
      </c>
      <c r="K58" s="151"/>
      <c r="L58" s="124">
        <v>6</v>
      </c>
      <c r="M58" s="124">
        <f t="shared" si="1"/>
        <v>6</v>
      </c>
      <c r="N58" s="124">
        <v>9</v>
      </c>
      <c r="O58" s="124">
        <f t="shared" si="2"/>
        <v>9</v>
      </c>
      <c r="P58" s="124">
        <v>61</v>
      </c>
      <c r="Q58" s="124">
        <v>38</v>
      </c>
      <c r="R58" s="124">
        <v>36</v>
      </c>
      <c r="S58" s="135">
        <f t="shared" si="3"/>
        <v>8.3447999999999994E-2</v>
      </c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36"/>
      <c r="AK58" s="136"/>
      <c r="AL58" s="136"/>
      <c r="AM58" s="136"/>
      <c r="AN58" s="136"/>
      <c r="AO58" s="136"/>
      <c r="AP58" s="136"/>
      <c r="AQ58" s="136"/>
      <c r="AR58" s="136"/>
      <c r="AS58" s="136"/>
      <c r="AT58" s="136"/>
      <c r="AU58" s="136"/>
      <c r="AV58" s="136"/>
      <c r="AW58" s="136"/>
    </row>
    <row r="59" spans="1:49" s="125" customFormat="1" ht="16.2" customHeight="1">
      <c r="A59" s="149"/>
      <c r="B59" s="150"/>
      <c r="C59" s="120">
        <f t="shared" si="10"/>
        <v>51</v>
      </c>
      <c r="D59" s="121" t="s">
        <v>26</v>
      </c>
      <c r="E59" s="120">
        <f t="shared" si="11"/>
        <v>51</v>
      </c>
      <c r="F59" s="120" t="s">
        <v>140</v>
      </c>
      <c r="G59" s="122">
        <v>8.5</v>
      </c>
      <c r="H59" s="122">
        <v>1</v>
      </c>
      <c r="I59" s="122">
        <v>6</v>
      </c>
      <c r="J59" s="123">
        <f t="shared" si="0"/>
        <v>6</v>
      </c>
      <c r="K59" s="151"/>
      <c r="L59" s="124">
        <v>4</v>
      </c>
      <c r="M59" s="124">
        <f t="shared" si="1"/>
        <v>4</v>
      </c>
      <c r="N59" s="124">
        <v>6</v>
      </c>
      <c r="O59" s="124">
        <f t="shared" si="2"/>
        <v>6</v>
      </c>
      <c r="P59" s="124">
        <v>41</v>
      </c>
      <c r="Q59" s="124">
        <v>38</v>
      </c>
      <c r="R59" s="124">
        <v>36</v>
      </c>
      <c r="S59" s="135">
        <f t="shared" si="3"/>
        <v>5.6087999999999999E-2</v>
      </c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36"/>
      <c r="AK59" s="136"/>
      <c r="AL59" s="136"/>
      <c r="AM59" s="136"/>
      <c r="AN59" s="136"/>
      <c r="AO59" s="136"/>
      <c r="AP59" s="136"/>
      <c r="AQ59" s="136"/>
      <c r="AR59" s="136"/>
      <c r="AS59" s="136"/>
      <c r="AT59" s="136"/>
      <c r="AU59" s="136"/>
      <c r="AV59" s="136"/>
      <c r="AW59" s="136"/>
    </row>
    <row r="60" spans="1:49" s="125" customFormat="1" ht="16.2" customHeight="1">
      <c r="A60" s="149"/>
      <c r="B60" s="150"/>
      <c r="C60" s="120">
        <f t="shared" si="10"/>
        <v>52</v>
      </c>
      <c r="D60" s="121" t="s">
        <v>26</v>
      </c>
      <c r="E60" s="120">
        <f t="shared" si="11"/>
        <v>53</v>
      </c>
      <c r="F60" s="120" t="s">
        <v>140</v>
      </c>
      <c r="G60" s="122">
        <v>9</v>
      </c>
      <c r="H60" s="122">
        <v>2</v>
      </c>
      <c r="I60" s="122">
        <v>9</v>
      </c>
      <c r="J60" s="123">
        <f t="shared" si="0"/>
        <v>18</v>
      </c>
      <c r="K60" s="151"/>
      <c r="L60" s="124">
        <v>6</v>
      </c>
      <c r="M60" s="124">
        <f t="shared" si="1"/>
        <v>12</v>
      </c>
      <c r="N60" s="124">
        <v>9</v>
      </c>
      <c r="O60" s="124">
        <f t="shared" si="2"/>
        <v>18</v>
      </c>
      <c r="P60" s="124">
        <v>61</v>
      </c>
      <c r="Q60" s="124">
        <v>38</v>
      </c>
      <c r="R60" s="124">
        <v>36</v>
      </c>
      <c r="S60" s="135">
        <f t="shared" si="3"/>
        <v>0.16689599999999999</v>
      </c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36"/>
      <c r="AK60" s="136"/>
      <c r="AL60" s="136"/>
      <c r="AM60" s="136"/>
      <c r="AN60" s="136"/>
      <c r="AO60" s="136"/>
      <c r="AP60" s="136"/>
      <c r="AQ60" s="136"/>
      <c r="AR60" s="136"/>
      <c r="AS60" s="136"/>
      <c r="AT60" s="136"/>
      <c r="AU60" s="136"/>
      <c r="AV60" s="136"/>
      <c r="AW60" s="136"/>
    </row>
    <row r="61" spans="1:49" s="125" customFormat="1" ht="16.2" customHeight="1">
      <c r="A61" s="149"/>
      <c r="B61" s="150"/>
      <c r="C61" s="120">
        <f t="shared" si="10"/>
        <v>54</v>
      </c>
      <c r="D61" s="121" t="s">
        <v>26</v>
      </c>
      <c r="E61" s="120">
        <f t="shared" si="11"/>
        <v>54</v>
      </c>
      <c r="F61" s="120" t="s">
        <v>140</v>
      </c>
      <c r="G61" s="122">
        <v>9.5</v>
      </c>
      <c r="H61" s="122">
        <v>1</v>
      </c>
      <c r="I61" s="122">
        <v>9</v>
      </c>
      <c r="J61" s="123">
        <f t="shared" si="0"/>
        <v>9</v>
      </c>
      <c r="K61" s="151"/>
      <c r="L61" s="124">
        <v>6</v>
      </c>
      <c r="M61" s="124">
        <f t="shared" si="1"/>
        <v>6</v>
      </c>
      <c r="N61" s="124">
        <v>9</v>
      </c>
      <c r="O61" s="124">
        <f t="shared" si="2"/>
        <v>9</v>
      </c>
      <c r="P61" s="124">
        <v>61</v>
      </c>
      <c r="Q61" s="124">
        <v>38</v>
      </c>
      <c r="R61" s="124">
        <v>36</v>
      </c>
      <c r="S61" s="135">
        <f t="shared" si="3"/>
        <v>8.3447999999999994E-2</v>
      </c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36"/>
      <c r="AK61" s="136"/>
      <c r="AL61" s="136"/>
      <c r="AM61" s="136"/>
      <c r="AN61" s="136"/>
      <c r="AO61" s="136"/>
      <c r="AP61" s="136"/>
      <c r="AQ61" s="136"/>
      <c r="AR61" s="136"/>
      <c r="AS61" s="136"/>
      <c r="AT61" s="136"/>
      <c r="AU61" s="136"/>
      <c r="AV61" s="136"/>
      <c r="AW61" s="136"/>
    </row>
    <row r="62" spans="1:49" s="125" customFormat="1" ht="16.2" customHeight="1">
      <c r="A62" s="149"/>
      <c r="B62" s="150"/>
      <c r="C62" s="120">
        <f t="shared" si="10"/>
        <v>55</v>
      </c>
      <c r="D62" s="121" t="s">
        <v>26</v>
      </c>
      <c r="E62" s="120">
        <f t="shared" si="11"/>
        <v>55</v>
      </c>
      <c r="F62" s="120" t="s">
        <v>140</v>
      </c>
      <c r="G62" s="122">
        <v>9.5</v>
      </c>
      <c r="H62" s="122">
        <v>1</v>
      </c>
      <c r="I62" s="122">
        <v>6</v>
      </c>
      <c r="J62" s="123">
        <f t="shared" si="0"/>
        <v>6</v>
      </c>
      <c r="K62" s="151"/>
      <c r="L62" s="124">
        <v>4</v>
      </c>
      <c r="M62" s="124">
        <f t="shared" si="1"/>
        <v>4</v>
      </c>
      <c r="N62" s="124">
        <v>6</v>
      </c>
      <c r="O62" s="124">
        <f t="shared" si="2"/>
        <v>6</v>
      </c>
      <c r="P62" s="124">
        <v>41</v>
      </c>
      <c r="Q62" s="124">
        <v>38</v>
      </c>
      <c r="R62" s="124">
        <v>36</v>
      </c>
      <c r="S62" s="135">
        <f t="shared" si="3"/>
        <v>5.6087999999999999E-2</v>
      </c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36"/>
      <c r="AK62" s="136"/>
      <c r="AL62" s="136"/>
      <c r="AM62" s="136"/>
      <c r="AN62" s="136"/>
      <c r="AO62" s="136"/>
      <c r="AP62" s="136"/>
      <c r="AQ62" s="136"/>
      <c r="AR62" s="136"/>
      <c r="AS62" s="136"/>
      <c r="AT62" s="136"/>
      <c r="AU62" s="136"/>
      <c r="AV62" s="136"/>
      <c r="AW62" s="136"/>
    </row>
    <row r="63" spans="1:49" s="125" customFormat="1" ht="16.2" customHeight="1">
      <c r="A63" s="149"/>
      <c r="B63" s="150"/>
      <c r="C63" s="120">
        <f t="shared" si="10"/>
        <v>56</v>
      </c>
      <c r="D63" s="121" t="s">
        <v>26</v>
      </c>
      <c r="E63" s="120">
        <f t="shared" si="11"/>
        <v>57</v>
      </c>
      <c r="F63" s="120" t="s">
        <v>140</v>
      </c>
      <c r="G63" s="122">
        <v>10</v>
      </c>
      <c r="H63" s="122">
        <v>2</v>
      </c>
      <c r="I63" s="122">
        <v>12</v>
      </c>
      <c r="J63" s="123">
        <f t="shared" si="0"/>
        <v>24</v>
      </c>
      <c r="K63" s="151"/>
      <c r="L63" s="124">
        <v>8</v>
      </c>
      <c r="M63" s="124">
        <f t="shared" si="1"/>
        <v>16</v>
      </c>
      <c r="N63" s="124">
        <v>12</v>
      </c>
      <c r="O63" s="124">
        <f t="shared" si="2"/>
        <v>24</v>
      </c>
      <c r="P63" s="124">
        <v>74</v>
      </c>
      <c r="Q63" s="124">
        <v>41</v>
      </c>
      <c r="R63" s="124">
        <v>36</v>
      </c>
      <c r="S63" s="135">
        <f t="shared" si="3"/>
        <v>0.218448</v>
      </c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  <c r="AK63" s="136"/>
      <c r="AL63" s="136"/>
      <c r="AM63" s="136"/>
      <c r="AN63" s="136"/>
      <c r="AO63" s="136"/>
      <c r="AP63" s="136"/>
      <c r="AQ63" s="136"/>
      <c r="AR63" s="136"/>
      <c r="AS63" s="136"/>
      <c r="AT63" s="136"/>
      <c r="AU63" s="136"/>
      <c r="AV63" s="136"/>
      <c r="AW63" s="136"/>
    </row>
    <row r="64" spans="1:49" s="125" customFormat="1" ht="16.2" customHeight="1">
      <c r="A64" s="149"/>
      <c r="B64" s="150"/>
      <c r="C64" s="120">
        <f t="shared" si="10"/>
        <v>58</v>
      </c>
      <c r="D64" s="121" t="s">
        <v>26</v>
      </c>
      <c r="E64" s="120">
        <f t="shared" si="11"/>
        <v>59</v>
      </c>
      <c r="F64" s="120" t="s">
        <v>140</v>
      </c>
      <c r="G64" s="122">
        <v>10.5</v>
      </c>
      <c r="H64" s="122">
        <v>2</v>
      </c>
      <c r="I64" s="122">
        <v>9</v>
      </c>
      <c r="J64" s="123">
        <f t="shared" si="0"/>
        <v>18</v>
      </c>
      <c r="K64" s="151"/>
      <c r="L64" s="124">
        <v>6</v>
      </c>
      <c r="M64" s="124">
        <f t="shared" si="1"/>
        <v>12</v>
      </c>
      <c r="N64" s="124">
        <v>9</v>
      </c>
      <c r="O64" s="124">
        <f t="shared" si="2"/>
        <v>18</v>
      </c>
      <c r="P64" s="124">
        <v>61</v>
      </c>
      <c r="Q64" s="124">
        <v>38</v>
      </c>
      <c r="R64" s="124">
        <v>36</v>
      </c>
      <c r="S64" s="135">
        <f t="shared" si="3"/>
        <v>0.16689599999999999</v>
      </c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36"/>
      <c r="AK64" s="136"/>
      <c r="AL64" s="136"/>
      <c r="AM64" s="136"/>
      <c r="AN64" s="136"/>
      <c r="AO64" s="136"/>
      <c r="AP64" s="136"/>
      <c r="AQ64" s="136"/>
      <c r="AR64" s="136"/>
      <c r="AS64" s="136"/>
      <c r="AT64" s="136"/>
      <c r="AU64" s="136"/>
      <c r="AV64" s="136"/>
      <c r="AW64" s="136"/>
    </row>
    <row r="65" spans="1:49" s="125" customFormat="1" ht="16.2" customHeight="1">
      <c r="A65" s="149"/>
      <c r="B65" s="150"/>
      <c r="C65" s="120">
        <f t="shared" si="10"/>
        <v>60</v>
      </c>
      <c r="D65" s="121" t="s">
        <v>26</v>
      </c>
      <c r="E65" s="120">
        <f t="shared" si="11"/>
        <v>61</v>
      </c>
      <c r="F65" s="120" t="s">
        <v>140</v>
      </c>
      <c r="G65" s="122">
        <v>11</v>
      </c>
      <c r="H65" s="122">
        <v>2</v>
      </c>
      <c r="I65" s="122">
        <v>12</v>
      </c>
      <c r="J65" s="123">
        <f t="shared" si="0"/>
        <v>24</v>
      </c>
      <c r="K65" s="151"/>
      <c r="L65" s="124">
        <v>8</v>
      </c>
      <c r="M65" s="124">
        <f t="shared" si="1"/>
        <v>16</v>
      </c>
      <c r="N65" s="124">
        <v>12</v>
      </c>
      <c r="O65" s="124">
        <f t="shared" si="2"/>
        <v>24</v>
      </c>
      <c r="P65" s="124">
        <v>74</v>
      </c>
      <c r="Q65" s="124">
        <v>41</v>
      </c>
      <c r="R65" s="124">
        <v>36</v>
      </c>
      <c r="S65" s="135">
        <f t="shared" si="3"/>
        <v>0.218448</v>
      </c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36"/>
      <c r="AK65" s="136"/>
      <c r="AL65" s="136"/>
      <c r="AM65" s="136"/>
      <c r="AN65" s="136"/>
      <c r="AO65" s="136"/>
      <c r="AP65" s="136"/>
      <c r="AQ65" s="136"/>
      <c r="AR65" s="136"/>
      <c r="AS65" s="136"/>
      <c r="AT65" s="136"/>
      <c r="AU65" s="136"/>
      <c r="AV65" s="136"/>
      <c r="AW65" s="136"/>
    </row>
    <row r="66" spans="1:49" s="125" customFormat="1" ht="16.2" customHeight="1">
      <c r="A66" s="149"/>
      <c r="B66" s="150"/>
      <c r="C66" s="120">
        <f t="shared" si="10"/>
        <v>62</v>
      </c>
      <c r="D66" s="121" t="s">
        <v>26</v>
      </c>
      <c r="E66" s="120">
        <f t="shared" si="11"/>
        <v>63</v>
      </c>
      <c r="F66" s="120" t="s">
        <v>140</v>
      </c>
      <c r="G66" s="122">
        <v>12</v>
      </c>
      <c r="H66" s="122">
        <v>2</v>
      </c>
      <c r="I66" s="122">
        <v>12</v>
      </c>
      <c r="J66" s="123">
        <f t="shared" si="0"/>
        <v>24</v>
      </c>
      <c r="K66" s="151"/>
      <c r="L66" s="124">
        <v>8</v>
      </c>
      <c r="M66" s="124">
        <f t="shared" si="1"/>
        <v>16</v>
      </c>
      <c r="N66" s="124">
        <v>12</v>
      </c>
      <c r="O66" s="124">
        <f t="shared" si="2"/>
        <v>24</v>
      </c>
      <c r="P66" s="124">
        <v>74</v>
      </c>
      <c r="Q66" s="124">
        <v>41</v>
      </c>
      <c r="R66" s="124">
        <v>36</v>
      </c>
      <c r="S66" s="135">
        <f t="shared" si="3"/>
        <v>0.218448</v>
      </c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  <c r="AS66" s="136"/>
      <c r="AT66" s="136"/>
      <c r="AU66" s="136"/>
      <c r="AV66" s="136"/>
      <c r="AW66" s="136"/>
    </row>
    <row r="67" spans="1:49" s="125" customFormat="1" ht="16.2" customHeight="1">
      <c r="A67" s="149"/>
      <c r="B67" s="150"/>
      <c r="C67" s="120">
        <f t="shared" si="10"/>
        <v>64</v>
      </c>
      <c r="D67" s="121" t="s">
        <v>26</v>
      </c>
      <c r="E67" s="120">
        <f t="shared" si="11"/>
        <v>65</v>
      </c>
      <c r="F67" s="120" t="s">
        <v>140</v>
      </c>
      <c r="G67" s="122">
        <v>13</v>
      </c>
      <c r="H67" s="122">
        <v>2</v>
      </c>
      <c r="I67" s="122">
        <v>9</v>
      </c>
      <c r="J67" s="123">
        <f t="shared" si="0"/>
        <v>18</v>
      </c>
      <c r="K67" s="151"/>
      <c r="L67" s="124">
        <v>6</v>
      </c>
      <c r="M67" s="124">
        <f t="shared" si="1"/>
        <v>12</v>
      </c>
      <c r="N67" s="124">
        <v>9</v>
      </c>
      <c r="O67" s="124">
        <f t="shared" si="2"/>
        <v>18</v>
      </c>
      <c r="P67" s="124">
        <v>61</v>
      </c>
      <c r="Q67" s="124">
        <v>41</v>
      </c>
      <c r="R67" s="124">
        <v>37</v>
      </c>
      <c r="S67" s="135">
        <f t="shared" si="3"/>
        <v>0.18507399999999999</v>
      </c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36"/>
      <c r="AK67" s="136"/>
      <c r="AL67" s="136"/>
      <c r="AM67" s="136"/>
      <c r="AN67" s="136"/>
      <c r="AO67" s="136"/>
      <c r="AP67" s="136"/>
      <c r="AQ67" s="136"/>
      <c r="AR67" s="136"/>
      <c r="AS67" s="136"/>
      <c r="AT67" s="136"/>
      <c r="AU67" s="136"/>
      <c r="AV67" s="136"/>
      <c r="AW67" s="136"/>
    </row>
    <row r="68" spans="1:49" s="129" customFormat="1" ht="16.2" customHeight="1">
      <c r="A68" s="152">
        <v>1536</v>
      </c>
      <c r="B68" s="152">
        <v>7071</v>
      </c>
      <c r="C68" s="120">
        <v>1</v>
      </c>
      <c r="D68" s="121" t="s">
        <v>26</v>
      </c>
      <c r="E68" s="120">
        <v>50</v>
      </c>
      <c r="F68" s="127" t="s">
        <v>134</v>
      </c>
      <c r="G68" s="128" t="s">
        <v>135</v>
      </c>
      <c r="H68" s="128">
        <v>50</v>
      </c>
      <c r="I68" s="128">
        <v>6</v>
      </c>
      <c r="J68" s="123">
        <f t="shared" si="0"/>
        <v>300</v>
      </c>
      <c r="K68" s="152">
        <f>SUM(J68:J82)</f>
        <v>1896</v>
      </c>
      <c r="L68" s="124">
        <v>5</v>
      </c>
      <c r="M68" s="124">
        <f t="shared" si="1"/>
        <v>250</v>
      </c>
      <c r="N68" s="124">
        <v>7</v>
      </c>
      <c r="O68" s="124">
        <f t="shared" si="2"/>
        <v>350</v>
      </c>
      <c r="P68" s="124">
        <v>41</v>
      </c>
      <c r="Q68" s="124">
        <v>38</v>
      </c>
      <c r="R68" s="124">
        <v>36</v>
      </c>
      <c r="S68" s="135">
        <f t="shared" si="3"/>
        <v>2.8043999999999998</v>
      </c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137"/>
    </row>
    <row r="69" spans="1:49" s="129" customFormat="1" ht="16.2" customHeight="1">
      <c r="A69" s="153"/>
      <c r="B69" s="153"/>
      <c r="C69" s="120">
        <f t="shared" ref="C69:C82" si="12">E68+1</f>
        <v>51</v>
      </c>
      <c r="D69" s="121" t="s">
        <v>26</v>
      </c>
      <c r="E69" s="120">
        <f t="shared" ref="E69:E82" si="13">E68+H69</f>
        <v>70</v>
      </c>
      <c r="F69" s="127" t="s">
        <v>134</v>
      </c>
      <c r="G69" s="128" t="s">
        <v>136</v>
      </c>
      <c r="H69" s="128">
        <v>20</v>
      </c>
      <c r="I69" s="128">
        <v>6</v>
      </c>
      <c r="J69" s="123">
        <f t="shared" si="0"/>
        <v>120</v>
      </c>
      <c r="K69" s="153"/>
      <c r="L69" s="124">
        <v>5</v>
      </c>
      <c r="M69" s="124">
        <f t="shared" si="1"/>
        <v>100</v>
      </c>
      <c r="N69" s="124">
        <v>7</v>
      </c>
      <c r="O69" s="124">
        <f t="shared" si="2"/>
        <v>140</v>
      </c>
      <c r="P69" s="124">
        <v>41</v>
      </c>
      <c r="Q69" s="124">
        <v>38</v>
      </c>
      <c r="R69" s="124">
        <v>36</v>
      </c>
      <c r="S69" s="135">
        <f t="shared" si="3"/>
        <v>1.1217600000000001</v>
      </c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</row>
    <row r="70" spans="1:49" s="129" customFormat="1" ht="16.2" customHeight="1">
      <c r="A70" s="153"/>
      <c r="B70" s="153"/>
      <c r="C70" s="120">
        <f t="shared" si="12"/>
        <v>71</v>
      </c>
      <c r="D70" s="121" t="s">
        <v>26</v>
      </c>
      <c r="E70" s="120">
        <f t="shared" si="13"/>
        <v>90</v>
      </c>
      <c r="F70" s="127" t="s">
        <v>134</v>
      </c>
      <c r="G70" s="128" t="s">
        <v>137</v>
      </c>
      <c r="H70" s="128">
        <v>20</v>
      </c>
      <c r="I70" s="128">
        <v>6</v>
      </c>
      <c r="J70" s="123">
        <f t="shared" si="0"/>
        <v>120</v>
      </c>
      <c r="K70" s="153"/>
      <c r="L70" s="124">
        <v>5</v>
      </c>
      <c r="M70" s="124">
        <f t="shared" si="1"/>
        <v>100</v>
      </c>
      <c r="N70" s="124">
        <v>7</v>
      </c>
      <c r="O70" s="124">
        <f t="shared" si="2"/>
        <v>140</v>
      </c>
      <c r="P70" s="124">
        <v>41</v>
      </c>
      <c r="Q70" s="124">
        <v>38</v>
      </c>
      <c r="R70" s="124">
        <v>36</v>
      </c>
      <c r="S70" s="135">
        <f t="shared" si="3"/>
        <v>1.1217600000000001</v>
      </c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</row>
    <row r="71" spans="1:49" s="129" customFormat="1" ht="16.2" customHeight="1">
      <c r="A71" s="153"/>
      <c r="B71" s="153"/>
      <c r="C71" s="120">
        <f t="shared" si="12"/>
        <v>91</v>
      </c>
      <c r="D71" s="121" t="s">
        <v>26</v>
      </c>
      <c r="E71" s="120">
        <f t="shared" si="13"/>
        <v>120</v>
      </c>
      <c r="F71" s="127" t="s">
        <v>141</v>
      </c>
      <c r="G71" s="128" t="s">
        <v>135</v>
      </c>
      <c r="H71" s="128">
        <v>30</v>
      </c>
      <c r="I71" s="128">
        <v>6</v>
      </c>
      <c r="J71" s="123">
        <f t="shared" si="0"/>
        <v>180</v>
      </c>
      <c r="K71" s="153"/>
      <c r="L71" s="124">
        <v>5</v>
      </c>
      <c r="M71" s="124">
        <f t="shared" si="1"/>
        <v>150</v>
      </c>
      <c r="N71" s="124">
        <v>7</v>
      </c>
      <c r="O71" s="124">
        <f t="shared" si="2"/>
        <v>210</v>
      </c>
      <c r="P71" s="124">
        <v>41</v>
      </c>
      <c r="Q71" s="124">
        <v>38</v>
      </c>
      <c r="R71" s="124">
        <v>36</v>
      </c>
      <c r="S71" s="135">
        <f t="shared" si="3"/>
        <v>1.6826399999999999</v>
      </c>
      <c r="T71" s="137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  <c r="AO71" s="137"/>
      <c r="AP71" s="137"/>
      <c r="AQ71" s="137"/>
      <c r="AR71" s="137"/>
      <c r="AS71" s="137"/>
      <c r="AT71" s="137"/>
      <c r="AU71" s="137"/>
      <c r="AV71" s="137"/>
      <c r="AW71" s="137"/>
    </row>
    <row r="72" spans="1:49" s="129" customFormat="1" ht="16.2" customHeight="1">
      <c r="A72" s="153"/>
      <c r="B72" s="153"/>
      <c r="C72" s="120">
        <f t="shared" si="12"/>
        <v>121</v>
      </c>
      <c r="D72" s="121" t="s">
        <v>26</v>
      </c>
      <c r="E72" s="120">
        <f t="shared" si="13"/>
        <v>128</v>
      </c>
      <c r="F72" s="127" t="s">
        <v>141</v>
      </c>
      <c r="G72" s="128" t="s">
        <v>136</v>
      </c>
      <c r="H72" s="128">
        <v>8</v>
      </c>
      <c r="I72" s="128">
        <v>6</v>
      </c>
      <c r="J72" s="123">
        <f t="shared" si="0"/>
        <v>48</v>
      </c>
      <c r="K72" s="153"/>
      <c r="L72" s="124">
        <v>5</v>
      </c>
      <c r="M72" s="124">
        <f t="shared" si="1"/>
        <v>40</v>
      </c>
      <c r="N72" s="124">
        <v>7</v>
      </c>
      <c r="O72" s="124">
        <f t="shared" si="2"/>
        <v>56</v>
      </c>
      <c r="P72" s="124">
        <v>41</v>
      </c>
      <c r="Q72" s="124">
        <v>38</v>
      </c>
      <c r="R72" s="124">
        <v>36</v>
      </c>
      <c r="S72" s="135">
        <f t="shared" si="3"/>
        <v>0.44870399999999999</v>
      </c>
      <c r="T72" s="137"/>
      <c r="U72" s="137"/>
      <c r="V72" s="137"/>
      <c r="W72" s="137"/>
      <c r="X72" s="137"/>
      <c r="Y72" s="137"/>
      <c r="Z72" s="137"/>
      <c r="AA72" s="137"/>
      <c r="AB72" s="137"/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137"/>
      <c r="AP72" s="137"/>
      <c r="AQ72" s="137"/>
      <c r="AR72" s="137"/>
      <c r="AS72" s="137"/>
      <c r="AT72" s="137"/>
      <c r="AU72" s="137"/>
      <c r="AV72" s="137"/>
      <c r="AW72" s="137"/>
    </row>
    <row r="73" spans="1:49" s="129" customFormat="1" ht="16.2" customHeight="1">
      <c r="A73" s="153"/>
      <c r="B73" s="153"/>
      <c r="C73" s="120">
        <f t="shared" si="12"/>
        <v>129</v>
      </c>
      <c r="D73" s="121" t="s">
        <v>26</v>
      </c>
      <c r="E73" s="120">
        <f t="shared" si="13"/>
        <v>138</v>
      </c>
      <c r="F73" s="127" t="s">
        <v>141</v>
      </c>
      <c r="G73" s="128" t="s">
        <v>137</v>
      </c>
      <c r="H73" s="128">
        <v>10</v>
      </c>
      <c r="I73" s="128">
        <v>6</v>
      </c>
      <c r="J73" s="123">
        <f t="shared" si="0"/>
        <v>60</v>
      </c>
      <c r="K73" s="153"/>
      <c r="L73" s="124">
        <v>5</v>
      </c>
      <c r="M73" s="124">
        <f t="shared" si="1"/>
        <v>50</v>
      </c>
      <c r="N73" s="124">
        <v>7</v>
      </c>
      <c r="O73" s="124">
        <f t="shared" si="2"/>
        <v>70</v>
      </c>
      <c r="P73" s="124">
        <v>41</v>
      </c>
      <c r="Q73" s="124">
        <v>38</v>
      </c>
      <c r="R73" s="124">
        <v>36</v>
      </c>
      <c r="S73" s="135">
        <f t="shared" si="3"/>
        <v>0.56088000000000005</v>
      </c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7"/>
      <c r="AO73" s="137"/>
      <c r="AP73" s="137"/>
      <c r="AQ73" s="137"/>
      <c r="AR73" s="137"/>
      <c r="AS73" s="137"/>
      <c r="AT73" s="137"/>
      <c r="AU73" s="137"/>
      <c r="AV73" s="137"/>
      <c r="AW73" s="137"/>
    </row>
    <row r="74" spans="1:49" s="129" customFormat="1" ht="16.2" customHeight="1">
      <c r="A74" s="153"/>
      <c r="B74" s="153"/>
      <c r="C74" s="120">
        <f t="shared" si="12"/>
        <v>139</v>
      </c>
      <c r="D74" s="121" t="s">
        <v>26</v>
      </c>
      <c r="E74" s="120">
        <f t="shared" si="13"/>
        <v>178</v>
      </c>
      <c r="F74" s="127" t="s">
        <v>142</v>
      </c>
      <c r="G74" s="128" t="s">
        <v>135</v>
      </c>
      <c r="H74" s="128">
        <v>40</v>
      </c>
      <c r="I74" s="128">
        <v>6</v>
      </c>
      <c r="J74" s="123">
        <f t="shared" si="0"/>
        <v>240</v>
      </c>
      <c r="K74" s="153"/>
      <c r="L74" s="124">
        <v>5</v>
      </c>
      <c r="M74" s="124">
        <f t="shared" si="1"/>
        <v>200</v>
      </c>
      <c r="N74" s="124">
        <v>7</v>
      </c>
      <c r="O74" s="124">
        <f t="shared" si="2"/>
        <v>280</v>
      </c>
      <c r="P74" s="124">
        <v>41</v>
      </c>
      <c r="Q74" s="124">
        <v>38</v>
      </c>
      <c r="R74" s="124">
        <v>36</v>
      </c>
      <c r="S74" s="135">
        <f t="shared" si="3"/>
        <v>2.2435200000000002</v>
      </c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137"/>
      <c r="AP74" s="137"/>
      <c r="AQ74" s="137"/>
      <c r="AR74" s="137"/>
      <c r="AS74" s="137"/>
      <c r="AT74" s="137"/>
      <c r="AU74" s="137"/>
      <c r="AV74" s="137"/>
      <c r="AW74" s="137"/>
    </row>
    <row r="75" spans="1:49" s="129" customFormat="1" ht="16.2" customHeight="1">
      <c r="A75" s="153"/>
      <c r="B75" s="153"/>
      <c r="C75" s="120">
        <f t="shared" si="12"/>
        <v>179</v>
      </c>
      <c r="D75" s="121" t="s">
        <v>26</v>
      </c>
      <c r="E75" s="120">
        <f t="shared" si="13"/>
        <v>188</v>
      </c>
      <c r="F75" s="127" t="s">
        <v>142</v>
      </c>
      <c r="G75" s="128" t="s">
        <v>136</v>
      </c>
      <c r="H75" s="128">
        <v>10</v>
      </c>
      <c r="I75" s="128">
        <v>6</v>
      </c>
      <c r="J75" s="123">
        <f t="shared" si="0"/>
        <v>60</v>
      </c>
      <c r="K75" s="153"/>
      <c r="L75" s="124">
        <v>5</v>
      </c>
      <c r="M75" s="124">
        <f t="shared" si="1"/>
        <v>50</v>
      </c>
      <c r="N75" s="124">
        <v>7</v>
      </c>
      <c r="O75" s="124">
        <f t="shared" si="2"/>
        <v>70</v>
      </c>
      <c r="P75" s="124">
        <v>41</v>
      </c>
      <c r="Q75" s="124">
        <v>38</v>
      </c>
      <c r="R75" s="124">
        <v>36</v>
      </c>
      <c r="S75" s="135">
        <f t="shared" si="3"/>
        <v>0.56088000000000005</v>
      </c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  <c r="AL75" s="137"/>
      <c r="AM75" s="137"/>
      <c r="AN75" s="137"/>
      <c r="AO75" s="137"/>
      <c r="AP75" s="137"/>
      <c r="AQ75" s="137"/>
      <c r="AR75" s="137"/>
      <c r="AS75" s="137"/>
      <c r="AT75" s="137"/>
      <c r="AU75" s="137"/>
      <c r="AV75" s="137"/>
      <c r="AW75" s="137"/>
    </row>
    <row r="76" spans="1:49" s="129" customFormat="1" ht="16.2" customHeight="1">
      <c r="A76" s="153"/>
      <c r="B76" s="153"/>
      <c r="C76" s="120">
        <f t="shared" si="12"/>
        <v>189</v>
      </c>
      <c r="D76" s="121" t="s">
        <v>26</v>
      </c>
      <c r="E76" s="120">
        <f t="shared" si="13"/>
        <v>203</v>
      </c>
      <c r="F76" s="127" t="s">
        <v>142</v>
      </c>
      <c r="G76" s="128" t="s">
        <v>137</v>
      </c>
      <c r="H76" s="128">
        <v>15</v>
      </c>
      <c r="I76" s="128">
        <v>6</v>
      </c>
      <c r="J76" s="123">
        <f t="shared" si="0"/>
        <v>90</v>
      </c>
      <c r="K76" s="153"/>
      <c r="L76" s="124">
        <v>5</v>
      </c>
      <c r="M76" s="124">
        <f t="shared" si="1"/>
        <v>75</v>
      </c>
      <c r="N76" s="124">
        <v>7</v>
      </c>
      <c r="O76" s="124">
        <f t="shared" si="2"/>
        <v>105</v>
      </c>
      <c r="P76" s="124">
        <v>41</v>
      </c>
      <c r="Q76" s="124">
        <v>38</v>
      </c>
      <c r="R76" s="124">
        <v>36</v>
      </c>
      <c r="S76" s="135">
        <f t="shared" si="3"/>
        <v>0.84131999999999996</v>
      </c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  <c r="AK76" s="137"/>
      <c r="AL76" s="137"/>
      <c r="AM76" s="137"/>
      <c r="AN76" s="137"/>
      <c r="AO76" s="137"/>
      <c r="AP76" s="137"/>
      <c r="AQ76" s="137"/>
      <c r="AR76" s="137"/>
      <c r="AS76" s="137"/>
      <c r="AT76" s="137"/>
      <c r="AU76" s="137"/>
      <c r="AV76" s="137"/>
      <c r="AW76" s="137"/>
    </row>
    <row r="77" spans="1:49" s="129" customFormat="1" ht="16.2" customHeight="1">
      <c r="A77" s="153"/>
      <c r="B77" s="153"/>
      <c r="C77" s="120">
        <f t="shared" si="12"/>
        <v>204</v>
      </c>
      <c r="D77" s="121" t="s">
        <v>26</v>
      </c>
      <c r="E77" s="120">
        <f t="shared" si="13"/>
        <v>243</v>
      </c>
      <c r="F77" s="127" t="s">
        <v>143</v>
      </c>
      <c r="G77" s="128" t="s">
        <v>135</v>
      </c>
      <c r="H77" s="128">
        <v>40</v>
      </c>
      <c r="I77" s="128">
        <v>6</v>
      </c>
      <c r="J77" s="123">
        <f t="shared" ref="J77:J82" si="14">H77*I77</f>
        <v>240</v>
      </c>
      <c r="K77" s="153"/>
      <c r="L77" s="124">
        <v>5</v>
      </c>
      <c r="M77" s="124">
        <f t="shared" ref="M77:M82" si="15">L77*H77</f>
        <v>200</v>
      </c>
      <c r="N77" s="124">
        <v>7</v>
      </c>
      <c r="O77" s="124">
        <f t="shared" ref="O77:O82" si="16">N77*H77</f>
        <v>280</v>
      </c>
      <c r="P77" s="124">
        <v>41</v>
      </c>
      <c r="Q77" s="124">
        <v>38</v>
      </c>
      <c r="R77" s="124">
        <v>36</v>
      </c>
      <c r="S77" s="135">
        <f t="shared" ref="S77:S82" si="17">P77*Q77*R77*H77/1000000</f>
        <v>2.2435200000000002</v>
      </c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137"/>
      <c r="AK77" s="137"/>
      <c r="AL77" s="137"/>
      <c r="AM77" s="137"/>
      <c r="AN77" s="137"/>
      <c r="AO77" s="137"/>
      <c r="AP77" s="137"/>
      <c r="AQ77" s="137"/>
      <c r="AR77" s="137"/>
      <c r="AS77" s="137"/>
      <c r="AT77" s="137"/>
      <c r="AU77" s="137"/>
      <c r="AV77" s="137"/>
      <c r="AW77" s="137"/>
    </row>
    <row r="78" spans="1:49" s="129" customFormat="1" ht="16.2" customHeight="1">
      <c r="A78" s="153"/>
      <c r="B78" s="153"/>
      <c r="C78" s="120">
        <f t="shared" si="12"/>
        <v>244</v>
      </c>
      <c r="D78" s="121" t="s">
        <v>26</v>
      </c>
      <c r="E78" s="120">
        <f t="shared" si="13"/>
        <v>253</v>
      </c>
      <c r="F78" s="127" t="s">
        <v>143</v>
      </c>
      <c r="G78" s="128" t="s">
        <v>136</v>
      </c>
      <c r="H78" s="128">
        <v>10</v>
      </c>
      <c r="I78" s="128">
        <v>6</v>
      </c>
      <c r="J78" s="123">
        <f t="shared" si="14"/>
        <v>60</v>
      </c>
      <c r="K78" s="153"/>
      <c r="L78" s="124">
        <v>5</v>
      </c>
      <c r="M78" s="124">
        <f t="shared" si="15"/>
        <v>50</v>
      </c>
      <c r="N78" s="124">
        <v>7</v>
      </c>
      <c r="O78" s="124">
        <f t="shared" si="16"/>
        <v>70</v>
      </c>
      <c r="P78" s="124">
        <v>41</v>
      </c>
      <c r="Q78" s="124">
        <v>38</v>
      </c>
      <c r="R78" s="124">
        <v>36</v>
      </c>
      <c r="S78" s="135">
        <f t="shared" si="17"/>
        <v>0.56088000000000005</v>
      </c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  <c r="AL78" s="137"/>
      <c r="AM78" s="137"/>
      <c r="AN78" s="137"/>
      <c r="AO78" s="137"/>
      <c r="AP78" s="137"/>
      <c r="AQ78" s="137"/>
      <c r="AR78" s="137"/>
      <c r="AS78" s="137"/>
      <c r="AT78" s="137"/>
      <c r="AU78" s="137"/>
      <c r="AV78" s="137"/>
      <c r="AW78" s="137"/>
    </row>
    <row r="79" spans="1:49" s="129" customFormat="1" ht="16.2" customHeight="1">
      <c r="A79" s="153"/>
      <c r="B79" s="153"/>
      <c r="C79" s="120">
        <f t="shared" si="12"/>
        <v>254</v>
      </c>
      <c r="D79" s="121" t="s">
        <v>26</v>
      </c>
      <c r="E79" s="120">
        <f t="shared" si="13"/>
        <v>268</v>
      </c>
      <c r="F79" s="127" t="s">
        <v>143</v>
      </c>
      <c r="G79" s="128" t="s">
        <v>137</v>
      </c>
      <c r="H79" s="128">
        <v>15</v>
      </c>
      <c r="I79" s="128">
        <v>6</v>
      </c>
      <c r="J79" s="123">
        <f t="shared" si="14"/>
        <v>90</v>
      </c>
      <c r="K79" s="153"/>
      <c r="L79" s="124">
        <v>5</v>
      </c>
      <c r="M79" s="124">
        <f t="shared" si="15"/>
        <v>75</v>
      </c>
      <c r="N79" s="124">
        <v>7</v>
      </c>
      <c r="O79" s="124">
        <f t="shared" si="16"/>
        <v>105</v>
      </c>
      <c r="P79" s="124">
        <v>41</v>
      </c>
      <c r="Q79" s="124">
        <v>38</v>
      </c>
      <c r="R79" s="124">
        <v>36</v>
      </c>
      <c r="S79" s="135">
        <f t="shared" si="17"/>
        <v>0.84131999999999996</v>
      </c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37"/>
      <c r="AI79" s="137"/>
      <c r="AJ79" s="137"/>
      <c r="AK79" s="137"/>
      <c r="AL79" s="137"/>
      <c r="AM79" s="137"/>
      <c r="AN79" s="137"/>
      <c r="AO79" s="137"/>
      <c r="AP79" s="137"/>
      <c r="AQ79" s="137"/>
      <c r="AR79" s="137"/>
      <c r="AS79" s="137"/>
      <c r="AT79" s="137"/>
      <c r="AU79" s="137"/>
      <c r="AV79" s="137"/>
      <c r="AW79" s="137"/>
    </row>
    <row r="80" spans="1:49" s="129" customFormat="1" ht="16.2" customHeight="1">
      <c r="A80" s="153"/>
      <c r="B80" s="153"/>
      <c r="C80" s="120">
        <f t="shared" si="12"/>
        <v>269</v>
      </c>
      <c r="D80" s="121" t="s">
        <v>26</v>
      </c>
      <c r="E80" s="120">
        <f t="shared" si="13"/>
        <v>298</v>
      </c>
      <c r="F80" s="127" t="s">
        <v>144</v>
      </c>
      <c r="G80" s="128" t="s">
        <v>135</v>
      </c>
      <c r="H80" s="128">
        <v>30</v>
      </c>
      <c r="I80" s="128">
        <v>6</v>
      </c>
      <c r="J80" s="123">
        <f t="shared" si="14"/>
        <v>180</v>
      </c>
      <c r="K80" s="153"/>
      <c r="L80" s="124">
        <v>5</v>
      </c>
      <c r="M80" s="124">
        <f t="shared" si="15"/>
        <v>150</v>
      </c>
      <c r="N80" s="124">
        <v>7</v>
      </c>
      <c r="O80" s="124">
        <f t="shared" si="16"/>
        <v>210</v>
      </c>
      <c r="P80" s="124">
        <v>41</v>
      </c>
      <c r="Q80" s="124">
        <v>38</v>
      </c>
      <c r="R80" s="124">
        <v>36</v>
      </c>
      <c r="S80" s="135">
        <f t="shared" si="17"/>
        <v>1.6826399999999999</v>
      </c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  <c r="AG80" s="137"/>
      <c r="AH80" s="137"/>
      <c r="AI80" s="137"/>
      <c r="AJ80" s="137"/>
      <c r="AK80" s="137"/>
      <c r="AL80" s="137"/>
      <c r="AM80" s="137"/>
      <c r="AN80" s="137"/>
      <c r="AO80" s="137"/>
      <c r="AP80" s="137"/>
      <c r="AQ80" s="137"/>
      <c r="AR80" s="137"/>
      <c r="AS80" s="137"/>
      <c r="AT80" s="137"/>
      <c r="AU80" s="137"/>
      <c r="AV80" s="137"/>
      <c r="AW80" s="137"/>
    </row>
    <row r="81" spans="1:49" s="129" customFormat="1" ht="16.2" customHeight="1">
      <c r="A81" s="153"/>
      <c r="B81" s="153"/>
      <c r="C81" s="120">
        <f t="shared" si="12"/>
        <v>299</v>
      </c>
      <c r="D81" s="121" t="s">
        <v>26</v>
      </c>
      <c r="E81" s="120">
        <f t="shared" si="13"/>
        <v>306</v>
      </c>
      <c r="F81" s="127" t="s">
        <v>144</v>
      </c>
      <c r="G81" s="128" t="s">
        <v>136</v>
      </c>
      <c r="H81" s="128">
        <v>8</v>
      </c>
      <c r="I81" s="128">
        <v>6</v>
      </c>
      <c r="J81" s="123">
        <f t="shared" si="14"/>
        <v>48</v>
      </c>
      <c r="K81" s="153"/>
      <c r="L81" s="124">
        <v>5</v>
      </c>
      <c r="M81" s="124">
        <f t="shared" si="15"/>
        <v>40</v>
      </c>
      <c r="N81" s="124">
        <v>7</v>
      </c>
      <c r="O81" s="124">
        <f t="shared" si="16"/>
        <v>56</v>
      </c>
      <c r="P81" s="124">
        <v>41</v>
      </c>
      <c r="Q81" s="124">
        <v>38</v>
      </c>
      <c r="R81" s="124">
        <v>36</v>
      </c>
      <c r="S81" s="135">
        <f t="shared" si="17"/>
        <v>0.44870399999999999</v>
      </c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  <c r="AI81" s="137"/>
      <c r="AJ81" s="137"/>
      <c r="AK81" s="137"/>
      <c r="AL81" s="137"/>
      <c r="AM81" s="137"/>
      <c r="AN81" s="137"/>
      <c r="AO81" s="137"/>
      <c r="AP81" s="137"/>
      <c r="AQ81" s="137"/>
      <c r="AR81" s="137"/>
      <c r="AS81" s="137"/>
      <c r="AT81" s="137"/>
      <c r="AU81" s="137"/>
      <c r="AV81" s="137"/>
      <c r="AW81" s="137"/>
    </row>
    <row r="82" spans="1:49" s="129" customFormat="1" ht="16.2" customHeight="1">
      <c r="A82" s="154"/>
      <c r="B82" s="154"/>
      <c r="C82" s="120">
        <f t="shared" si="12"/>
        <v>307</v>
      </c>
      <c r="D82" s="121" t="s">
        <v>26</v>
      </c>
      <c r="E82" s="120">
        <f t="shared" si="13"/>
        <v>316</v>
      </c>
      <c r="F82" s="127" t="s">
        <v>144</v>
      </c>
      <c r="G82" s="128" t="s">
        <v>137</v>
      </c>
      <c r="H82" s="128">
        <v>10</v>
      </c>
      <c r="I82" s="128">
        <v>6</v>
      </c>
      <c r="J82" s="123">
        <f t="shared" si="14"/>
        <v>60</v>
      </c>
      <c r="K82" s="154"/>
      <c r="L82" s="124">
        <v>5</v>
      </c>
      <c r="M82" s="124">
        <f t="shared" si="15"/>
        <v>50</v>
      </c>
      <c r="N82" s="124">
        <v>7</v>
      </c>
      <c r="O82" s="124">
        <f t="shared" si="16"/>
        <v>70</v>
      </c>
      <c r="P82" s="124">
        <v>41</v>
      </c>
      <c r="Q82" s="124">
        <v>38</v>
      </c>
      <c r="R82" s="124">
        <v>36</v>
      </c>
      <c r="S82" s="135">
        <f t="shared" si="17"/>
        <v>0.56088000000000005</v>
      </c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  <c r="AK82" s="137"/>
      <c r="AL82" s="137"/>
      <c r="AM82" s="137"/>
      <c r="AN82" s="137"/>
      <c r="AO82" s="137"/>
      <c r="AP82" s="137"/>
      <c r="AQ82" s="137"/>
      <c r="AR82" s="137"/>
      <c r="AS82" s="137"/>
      <c r="AT82" s="137"/>
      <c r="AU82" s="137"/>
      <c r="AV82" s="137"/>
      <c r="AW82" s="137"/>
    </row>
    <row r="83" spans="1:49" s="133" customFormat="1" ht="16.2" customHeight="1">
      <c r="A83" s="130"/>
      <c r="B83" s="130"/>
      <c r="C83" s="130"/>
      <c r="D83" s="130"/>
      <c r="E83" s="130"/>
      <c r="F83" s="131"/>
      <c r="G83" s="130"/>
      <c r="H83" s="130">
        <f>SUM(H10:H82)</f>
        <v>894</v>
      </c>
      <c r="I83" s="130"/>
      <c r="J83" s="130">
        <f>SUM(J10:J82)</f>
        <v>7119</v>
      </c>
      <c r="K83" s="130">
        <f>SUM(J83)</f>
        <v>7119</v>
      </c>
      <c r="L83" s="130"/>
      <c r="M83" s="132">
        <f>SUM(M10:M82)</f>
        <v>5506.5</v>
      </c>
      <c r="N83" s="130"/>
      <c r="O83" s="132">
        <f>SUM(O10:O82)</f>
        <v>8052.6600000000008</v>
      </c>
      <c r="P83" s="130"/>
      <c r="Q83" s="130"/>
      <c r="R83" s="130"/>
      <c r="S83" s="132">
        <f>SUM(S10:S82)</f>
        <v>65.041388999999995</v>
      </c>
      <c r="T83" s="138"/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  <c r="AE83" s="138"/>
      <c r="AF83" s="138"/>
      <c r="AG83" s="138"/>
      <c r="AH83" s="138"/>
      <c r="AI83" s="138"/>
      <c r="AJ83" s="138"/>
      <c r="AK83" s="138"/>
      <c r="AL83" s="138"/>
      <c r="AM83" s="138"/>
      <c r="AN83" s="138"/>
      <c r="AO83" s="138"/>
      <c r="AP83" s="138"/>
      <c r="AQ83" s="138"/>
      <c r="AR83" s="138"/>
      <c r="AS83" s="138"/>
      <c r="AT83" s="138"/>
      <c r="AU83" s="138"/>
      <c r="AV83" s="138"/>
      <c r="AW83" s="138"/>
    </row>
  </sheetData>
  <mergeCells count="40">
    <mergeCell ref="A1:S1"/>
    <mergeCell ref="O2:P2"/>
    <mergeCell ref="B6:F6"/>
    <mergeCell ref="A8:A9"/>
    <mergeCell ref="B8:B9"/>
    <mergeCell ref="C8:E9"/>
    <mergeCell ref="F8:F9"/>
    <mergeCell ref="G8:G9"/>
    <mergeCell ref="H8:H9"/>
    <mergeCell ref="I8:I9"/>
    <mergeCell ref="J8:J9"/>
    <mergeCell ref="K8:K9"/>
    <mergeCell ref="L8:O8"/>
    <mergeCell ref="P8:R8"/>
    <mergeCell ref="L9:M9"/>
    <mergeCell ref="N9:O9"/>
    <mergeCell ref="A10:A12"/>
    <mergeCell ref="B10:B12"/>
    <mergeCell ref="K10:K12"/>
    <mergeCell ref="B25:B27"/>
    <mergeCell ref="K25:K27"/>
    <mergeCell ref="A13:A16"/>
    <mergeCell ref="B13:B16"/>
    <mergeCell ref="K13:K16"/>
    <mergeCell ref="A17:A21"/>
    <mergeCell ref="B17:B21"/>
    <mergeCell ref="K17:K21"/>
    <mergeCell ref="A25:A27"/>
    <mergeCell ref="A28:A30"/>
    <mergeCell ref="B28:B30"/>
    <mergeCell ref="K28:K30"/>
    <mergeCell ref="A22:A24"/>
    <mergeCell ref="B22:B24"/>
    <mergeCell ref="K22:K24"/>
    <mergeCell ref="A31:A67"/>
    <mergeCell ref="B31:B67"/>
    <mergeCell ref="K31:K67"/>
    <mergeCell ref="A68:A82"/>
    <mergeCell ref="B68:B82"/>
    <mergeCell ref="K68:K82"/>
  </mergeCells>
  <phoneticPr fontId="12" type="noConversion"/>
  <printOptions horizontalCentered="1"/>
  <pageMargins left="0" right="0" top="0" bottom="0" header="0" footer="0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SI </vt:lpstr>
      <vt:lpstr>ISF Data Sheet</vt:lpstr>
      <vt:lpstr>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Shelly</dc:creator>
  <cp:lastModifiedBy>詳諭 Rondo</cp:lastModifiedBy>
  <cp:lastPrinted>2026-03-26T08:35:18Z</cp:lastPrinted>
  <dcterms:created xsi:type="dcterms:W3CDTF">2017-02-16T02:42:00Z</dcterms:created>
  <dcterms:modified xsi:type="dcterms:W3CDTF">2026-03-26T08:42:14Z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7C93C906DA8B4403BF18C57A381D1209</vt:lpwstr>
  </property>
</Properties>
</file>